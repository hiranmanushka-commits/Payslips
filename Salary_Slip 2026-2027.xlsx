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iran\Formats\PayslipApp\"/>
    </mc:Choice>
  </mc:AlternateContent>
  <xr:revisionPtr revIDLastSave="0" documentId="13_ncr:1_{F6E5DB4A-F4C7-49E0-AD4F-62969DCAB31A}" xr6:coauthVersionLast="47" xr6:coauthVersionMax="47" xr10:uidLastSave="{00000000-0000-0000-0000-000000000000}"/>
  <bookViews>
    <workbookView xWindow="-108" yWindow="-108" windowWidth="23256" windowHeight="12456" tabRatio="795" activeTab="2" xr2:uid="{00000000-000D-0000-FFFF-FFFF00000000}"/>
  </bookViews>
  <sheets>
    <sheet name="Salary Silp" sheetId="1" r:id="rId1"/>
    <sheet name="Employee Master" sheetId="2" r:id="rId2"/>
    <sheet name="Salary Data" sheetId="3" r:id="rId3"/>
  </sheets>
  <definedNames>
    <definedName name="_xlnm._FilterDatabase" localSheetId="1" hidden="1">'Employee Master'!$A$1:$O$16</definedName>
    <definedName name="_xlnm._FilterDatabase" localSheetId="2" hidden="1">'Salary Data'!$A$1:$Y$181</definedName>
    <definedName name="_xlnm.Print_Area" localSheetId="0">'Salary Silp'!$A$1:$E$47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9" i="3" l="1"/>
  <c r="A10" i="1"/>
  <c r="D8" i="1"/>
  <c r="A9" i="1"/>
  <c r="AA181" i="3" l="1"/>
  <c r="Y181" i="3"/>
  <c r="X181" i="3"/>
  <c r="N181" i="3"/>
  <c r="V181" i="3" s="1"/>
  <c r="M181" i="3"/>
  <c r="AA180" i="3"/>
  <c r="Y180" i="3"/>
  <c r="X180" i="3"/>
  <c r="N180" i="3"/>
  <c r="V180" i="3" s="1"/>
  <c r="M180" i="3"/>
  <c r="AA179" i="3"/>
  <c r="Y179" i="3"/>
  <c r="X179" i="3"/>
  <c r="N179" i="3"/>
  <c r="V179" i="3" s="1"/>
  <c r="M179" i="3"/>
  <c r="AA178" i="3"/>
  <c r="Y178" i="3"/>
  <c r="X178" i="3"/>
  <c r="N178" i="3"/>
  <c r="V178" i="3" s="1"/>
  <c r="M178" i="3"/>
  <c r="W178" i="3" s="1"/>
  <c r="AA177" i="3"/>
  <c r="Y177" i="3"/>
  <c r="X177" i="3"/>
  <c r="N177" i="3"/>
  <c r="V177" i="3" s="1"/>
  <c r="M177" i="3"/>
  <c r="W177" i="3" s="1"/>
  <c r="AA176" i="3"/>
  <c r="Y176" i="3"/>
  <c r="X176" i="3"/>
  <c r="N176" i="3"/>
  <c r="V176" i="3" s="1"/>
  <c r="M176" i="3"/>
  <c r="AA175" i="3"/>
  <c r="Y175" i="3"/>
  <c r="X175" i="3"/>
  <c r="N175" i="3"/>
  <c r="V175" i="3" s="1"/>
  <c r="M175" i="3"/>
  <c r="AA174" i="3"/>
  <c r="Y174" i="3"/>
  <c r="X174" i="3"/>
  <c r="N174" i="3"/>
  <c r="V174" i="3" s="1"/>
  <c r="M174" i="3"/>
  <c r="AA173" i="3"/>
  <c r="Y173" i="3"/>
  <c r="X173" i="3"/>
  <c r="N173" i="3"/>
  <c r="V173" i="3" s="1"/>
  <c r="M173" i="3"/>
  <c r="AA172" i="3"/>
  <c r="Y172" i="3"/>
  <c r="X172" i="3"/>
  <c r="N172" i="3"/>
  <c r="V172" i="3" s="1"/>
  <c r="M172" i="3"/>
  <c r="W172" i="3" s="1"/>
  <c r="AA171" i="3"/>
  <c r="Y171" i="3"/>
  <c r="X171" i="3"/>
  <c r="N171" i="3"/>
  <c r="V171" i="3" s="1"/>
  <c r="M171" i="3"/>
  <c r="AA170" i="3"/>
  <c r="Y170" i="3"/>
  <c r="X170" i="3"/>
  <c r="N170" i="3"/>
  <c r="V170" i="3" s="1"/>
  <c r="M170" i="3"/>
  <c r="AA169" i="3"/>
  <c r="Y169" i="3"/>
  <c r="X169" i="3"/>
  <c r="N169" i="3"/>
  <c r="V169" i="3" s="1"/>
  <c r="M169" i="3"/>
  <c r="AA168" i="3"/>
  <c r="Y168" i="3"/>
  <c r="X168" i="3"/>
  <c r="N168" i="3"/>
  <c r="V168" i="3" s="1"/>
  <c r="M168" i="3"/>
  <c r="AA167" i="3"/>
  <c r="Y167" i="3"/>
  <c r="X167" i="3"/>
  <c r="N167" i="3"/>
  <c r="V167" i="3" s="1"/>
  <c r="M167" i="3"/>
  <c r="AA166" i="3"/>
  <c r="Y166" i="3"/>
  <c r="X166" i="3"/>
  <c r="N166" i="3"/>
  <c r="V166" i="3" s="1"/>
  <c r="M166" i="3"/>
  <c r="AA165" i="3"/>
  <c r="Y165" i="3"/>
  <c r="X165" i="3"/>
  <c r="N165" i="3"/>
  <c r="V165" i="3" s="1"/>
  <c r="M165" i="3"/>
  <c r="AA164" i="3"/>
  <c r="Y164" i="3"/>
  <c r="X164" i="3"/>
  <c r="N164" i="3"/>
  <c r="V164" i="3" s="1"/>
  <c r="M164" i="3"/>
  <c r="W164" i="3" s="1"/>
  <c r="AA163" i="3"/>
  <c r="Y163" i="3"/>
  <c r="X163" i="3"/>
  <c r="N163" i="3"/>
  <c r="V163" i="3" s="1"/>
  <c r="M163" i="3"/>
  <c r="W163" i="3" s="1"/>
  <c r="AA162" i="3"/>
  <c r="Y162" i="3"/>
  <c r="X162" i="3"/>
  <c r="N162" i="3"/>
  <c r="V162" i="3" s="1"/>
  <c r="M162" i="3"/>
  <c r="AA161" i="3"/>
  <c r="Y161" i="3"/>
  <c r="X161" i="3"/>
  <c r="N161" i="3"/>
  <c r="V161" i="3" s="1"/>
  <c r="M161" i="3"/>
  <c r="AA160" i="3"/>
  <c r="Y160" i="3"/>
  <c r="X160" i="3"/>
  <c r="N160" i="3"/>
  <c r="V160" i="3" s="1"/>
  <c r="M160" i="3"/>
  <c r="AA159" i="3"/>
  <c r="Y159" i="3"/>
  <c r="X159" i="3"/>
  <c r="N159" i="3"/>
  <c r="V159" i="3" s="1"/>
  <c r="M159" i="3"/>
  <c r="AA158" i="3"/>
  <c r="Y158" i="3"/>
  <c r="X158" i="3"/>
  <c r="N158" i="3"/>
  <c r="V158" i="3" s="1"/>
  <c r="M158" i="3"/>
  <c r="AA157" i="3"/>
  <c r="Y157" i="3"/>
  <c r="X157" i="3"/>
  <c r="N157" i="3"/>
  <c r="V157" i="3" s="1"/>
  <c r="M157" i="3"/>
  <c r="AA156" i="3"/>
  <c r="Y156" i="3"/>
  <c r="X156" i="3"/>
  <c r="N156" i="3"/>
  <c r="V156" i="3" s="1"/>
  <c r="M156" i="3"/>
  <c r="AA155" i="3"/>
  <c r="Y155" i="3"/>
  <c r="X155" i="3"/>
  <c r="N155" i="3"/>
  <c r="V155" i="3" s="1"/>
  <c r="M155" i="3"/>
  <c r="AA154" i="3"/>
  <c r="Y154" i="3"/>
  <c r="X154" i="3"/>
  <c r="N154" i="3"/>
  <c r="V154" i="3" s="1"/>
  <c r="M154" i="3"/>
  <c r="AA153" i="3"/>
  <c r="Y153" i="3"/>
  <c r="X153" i="3"/>
  <c r="N153" i="3"/>
  <c r="V153" i="3" s="1"/>
  <c r="M153" i="3"/>
  <c r="AA152" i="3"/>
  <c r="Y152" i="3"/>
  <c r="X152" i="3"/>
  <c r="N152" i="3"/>
  <c r="V152" i="3" s="1"/>
  <c r="M152" i="3"/>
  <c r="AA151" i="3"/>
  <c r="Y151" i="3"/>
  <c r="X151" i="3"/>
  <c r="N151" i="3"/>
  <c r="V151" i="3" s="1"/>
  <c r="M151" i="3"/>
  <c r="AA150" i="3"/>
  <c r="Y150" i="3"/>
  <c r="X150" i="3"/>
  <c r="N150" i="3"/>
  <c r="V150" i="3" s="1"/>
  <c r="M150" i="3"/>
  <c r="AA149" i="3"/>
  <c r="Y149" i="3"/>
  <c r="X149" i="3"/>
  <c r="N149" i="3"/>
  <c r="V149" i="3" s="1"/>
  <c r="M149" i="3"/>
  <c r="AA148" i="3"/>
  <c r="Y148" i="3"/>
  <c r="X148" i="3"/>
  <c r="N148" i="3"/>
  <c r="V148" i="3" s="1"/>
  <c r="M148" i="3"/>
  <c r="W148" i="3" s="1"/>
  <c r="AA147" i="3"/>
  <c r="Y147" i="3"/>
  <c r="X147" i="3"/>
  <c r="N147" i="3"/>
  <c r="V147" i="3" s="1"/>
  <c r="M147" i="3"/>
  <c r="AA146" i="3"/>
  <c r="Y146" i="3"/>
  <c r="X146" i="3"/>
  <c r="N146" i="3"/>
  <c r="V146" i="3" s="1"/>
  <c r="M146" i="3"/>
  <c r="AA145" i="3"/>
  <c r="Y145" i="3"/>
  <c r="X145" i="3"/>
  <c r="N145" i="3"/>
  <c r="V145" i="3" s="1"/>
  <c r="M145" i="3"/>
  <c r="AA144" i="3"/>
  <c r="Y144" i="3"/>
  <c r="X144" i="3"/>
  <c r="N144" i="3"/>
  <c r="V144" i="3" s="1"/>
  <c r="M144" i="3"/>
  <c r="AA143" i="3"/>
  <c r="Y143" i="3"/>
  <c r="X143" i="3"/>
  <c r="N143" i="3"/>
  <c r="V143" i="3" s="1"/>
  <c r="M143" i="3"/>
  <c r="AA142" i="3"/>
  <c r="Y142" i="3"/>
  <c r="X142" i="3"/>
  <c r="N142" i="3"/>
  <c r="V142" i="3" s="1"/>
  <c r="M142" i="3"/>
  <c r="AA141" i="3"/>
  <c r="Y141" i="3"/>
  <c r="X141" i="3"/>
  <c r="N141" i="3"/>
  <c r="V141" i="3" s="1"/>
  <c r="M141" i="3"/>
  <c r="AA140" i="3"/>
  <c r="Y140" i="3"/>
  <c r="X140" i="3"/>
  <c r="N140" i="3"/>
  <c r="V140" i="3" s="1"/>
  <c r="M140" i="3"/>
  <c r="AA139" i="3"/>
  <c r="Y139" i="3"/>
  <c r="X139" i="3"/>
  <c r="N139" i="3"/>
  <c r="V139" i="3" s="1"/>
  <c r="M139" i="3"/>
  <c r="AA138" i="3"/>
  <c r="Y138" i="3"/>
  <c r="X138" i="3"/>
  <c r="N138" i="3"/>
  <c r="V138" i="3" s="1"/>
  <c r="M138" i="3"/>
  <c r="AA137" i="3"/>
  <c r="Y137" i="3"/>
  <c r="X137" i="3"/>
  <c r="N137" i="3"/>
  <c r="V137" i="3" s="1"/>
  <c r="M137" i="3"/>
  <c r="W137" i="3" s="1"/>
  <c r="AA136" i="3"/>
  <c r="Y136" i="3"/>
  <c r="X136" i="3"/>
  <c r="V136" i="3"/>
  <c r="N136" i="3"/>
  <c r="M136" i="3"/>
  <c r="AA135" i="3"/>
  <c r="Y135" i="3"/>
  <c r="X135" i="3"/>
  <c r="N135" i="3"/>
  <c r="V135" i="3" s="1"/>
  <c r="M135" i="3"/>
  <c r="AA134" i="3"/>
  <c r="Y134" i="3"/>
  <c r="X134" i="3"/>
  <c r="N134" i="3"/>
  <c r="V134" i="3" s="1"/>
  <c r="W134" i="3" s="1"/>
  <c r="M134" i="3"/>
  <c r="AA133" i="3"/>
  <c r="Y133" i="3"/>
  <c r="X133" i="3"/>
  <c r="N133" i="3"/>
  <c r="V133" i="3" s="1"/>
  <c r="M133" i="3"/>
  <c r="W133" i="3" s="1"/>
  <c r="AA132" i="3"/>
  <c r="Y132" i="3"/>
  <c r="X132" i="3"/>
  <c r="N132" i="3"/>
  <c r="V132" i="3" s="1"/>
  <c r="M132" i="3"/>
  <c r="AA131" i="3"/>
  <c r="Y131" i="3"/>
  <c r="X131" i="3"/>
  <c r="N131" i="3"/>
  <c r="V131" i="3" s="1"/>
  <c r="M131" i="3"/>
  <c r="W131" i="3" s="1"/>
  <c r="AA130" i="3"/>
  <c r="Y130" i="3"/>
  <c r="X130" i="3"/>
  <c r="N130" i="3"/>
  <c r="V130" i="3" s="1"/>
  <c r="M130" i="3"/>
  <c r="AA129" i="3"/>
  <c r="Y129" i="3"/>
  <c r="X129" i="3"/>
  <c r="N129" i="3"/>
  <c r="V129" i="3" s="1"/>
  <c r="M129" i="3"/>
  <c r="W129" i="3" s="1"/>
  <c r="AA128" i="3"/>
  <c r="Y128" i="3"/>
  <c r="X128" i="3"/>
  <c r="N128" i="3"/>
  <c r="V128" i="3" s="1"/>
  <c r="W128" i="3" s="1"/>
  <c r="M128" i="3"/>
  <c r="AA127" i="3"/>
  <c r="Y127" i="3"/>
  <c r="X127" i="3"/>
  <c r="N127" i="3"/>
  <c r="V127" i="3" s="1"/>
  <c r="M127" i="3"/>
  <c r="AA126" i="3"/>
  <c r="Y126" i="3"/>
  <c r="X126" i="3"/>
  <c r="N126" i="3"/>
  <c r="V126" i="3" s="1"/>
  <c r="W126" i="3" s="1"/>
  <c r="M126" i="3"/>
  <c r="AA125" i="3"/>
  <c r="Y125" i="3"/>
  <c r="X125" i="3"/>
  <c r="N125" i="3"/>
  <c r="V125" i="3" s="1"/>
  <c r="M125" i="3"/>
  <c r="W125" i="3" s="1"/>
  <c r="AA124" i="3"/>
  <c r="Y124" i="3"/>
  <c r="X124" i="3"/>
  <c r="N124" i="3"/>
  <c r="V124" i="3" s="1"/>
  <c r="M124" i="3"/>
  <c r="AA123" i="3"/>
  <c r="Y123" i="3"/>
  <c r="X123" i="3"/>
  <c r="N123" i="3"/>
  <c r="V123" i="3" s="1"/>
  <c r="M123" i="3"/>
  <c r="W123" i="3" s="1"/>
  <c r="AA122" i="3"/>
  <c r="Y122" i="3"/>
  <c r="X122" i="3"/>
  <c r="N122" i="3"/>
  <c r="V122" i="3" s="1"/>
  <c r="W122" i="3" s="1"/>
  <c r="M122" i="3"/>
  <c r="AA121" i="3"/>
  <c r="Y121" i="3"/>
  <c r="X121" i="3"/>
  <c r="N121" i="3"/>
  <c r="V121" i="3" s="1"/>
  <c r="M121" i="3"/>
  <c r="AA120" i="3"/>
  <c r="Y120" i="3"/>
  <c r="X120" i="3"/>
  <c r="N120" i="3"/>
  <c r="V120" i="3" s="1"/>
  <c r="W120" i="3" s="1"/>
  <c r="M120" i="3"/>
  <c r="AA119" i="3"/>
  <c r="Y119" i="3"/>
  <c r="X119" i="3"/>
  <c r="N119" i="3"/>
  <c r="V119" i="3" s="1"/>
  <c r="M119" i="3"/>
  <c r="AA118" i="3"/>
  <c r="Y118" i="3"/>
  <c r="X118" i="3"/>
  <c r="N118" i="3"/>
  <c r="V118" i="3" s="1"/>
  <c r="W118" i="3" s="1"/>
  <c r="M118" i="3"/>
  <c r="AA117" i="3"/>
  <c r="Y117" i="3"/>
  <c r="X117" i="3"/>
  <c r="N117" i="3"/>
  <c r="V117" i="3" s="1"/>
  <c r="M117" i="3"/>
  <c r="AA116" i="3"/>
  <c r="Y116" i="3"/>
  <c r="X116" i="3"/>
  <c r="N116" i="3"/>
  <c r="V116" i="3" s="1"/>
  <c r="M116" i="3"/>
  <c r="W116" i="3" s="1"/>
  <c r="AA115" i="3"/>
  <c r="Y115" i="3"/>
  <c r="X115" i="3"/>
  <c r="N115" i="3"/>
  <c r="V115" i="3" s="1"/>
  <c r="M115" i="3"/>
  <c r="AA114" i="3"/>
  <c r="Y114" i="3"/>
  <c r="X114" i="3"/>
  <c r="N114" i="3"/>
  <c r="V114" i="3" s="1"/>
  <c r="W114" i="3" s="1"/>
  <c r="M114" i="3"/>
  <c r="AA113" i="3"/>
  <c r="Y113" i="3"/>
  <c r="X113" i="3"/>
  <c r="N113" i="3"/>
  <c r="V113" i="3" s="1"/>
  <c r="M113" i="3"/>
  <c r="AA112" i="3"/>
  <c r="Y112" i="3"/>
  <c r="X112" i="3"/>
  <c r="N112" i="3"/>
  <c r="V112" i="3" s="1"/>
  <c r="W112" i="3" s="1"/>
  <c r="M112" i="3"/>
  <c r="AA111" i="3"/>
  <c r="Y111" i="3"/>
  <c r="X111" i="3"/>
  <c r="N111" i="3"/>
  <c r="V111" i="3" s="1"/>
  <c r="M111" i="3"/>
  <c r="AA110" i="3"/>
  <c r="Y110" i="3"/>
  <c r="X110" i="3"/>
  <c r="N110" i="3"/>
  <c r="V110" i="3" s="1"/>
  <c r="W110" i="3" s="1"/>
  <c r="M110" i="3"/>
  <c r="AA109" i="3"/>
  <c r="Y109" i="3"/>
  <c r="X109" i="3"/>
  <c r="N109" i="3"/>
  <c r="V109" i="3" s="1"/>
  <c r="M109" i="3"/>
  <c r="AA108" i="3"/>
  <c r="Y108" i="3"/>
  <c r="X108" i="3"/>
  <c r="N108" i="3"/>
  <c r="V108" i="3" s="1"/>
  <c r="M108" i="3"/>
  <c r="AA107" i="3"/>
  <c r="Y107" i="3"/>
  <c r="X107" i="3"/>
  <c r="N107" i="3"/>
  <c r="V107" i="3" s="1"/>
  <c r="M107" i="3"/>
  <c r="AA106" i="3"/>
  <c r="Y106" i="3"/>
  <c r="X106" i="3"/>
  <c r="N106" i="3"/>
  <c r="V106" i="3" s="1"/>
  <c r="M106" i="3"/>
  <c r="AA105" i="3"/>
  <c r="Y105" i="3"/>
  <c r="X105" i="3"/>
  <c r="N105" i="3"/>
  <c r="V105" i="3" s="1"/>
  <c r="M105" i="3"/>
  <c r="AA104" i="3"/>
  <c r="Y104" i="3"/>
  <c r="X104" i="3"/>
  <c r="N104" i="3"/>
  <c r="V104" i="3" s="1"/>
  <c r="M104" i="3"/>
  <c r="AA103" i="3"/>
  <c r="Y103" i="3"/>
  <c r="X103" i="3"/>
  <c r="N103" i="3"/>
  <c r="V103" i="3" s="1"/>
  <c r="M103" i="3"/>
  <c r="AA102" i="3"/>
  <c r="Y102" i="3"/>
  <c r="X102" i="3"/>
  <c r="N102" i="3"/>
  <c r="V102" i="3" s="1"/>
  <c r="M102" i="3"/>
  <c r="AA101" i="3"/>
  <c r="Y101" i="3"/>
  <c r="X101" i="3"/>
  <c r="N101" i="3"/>
  <c r="V101" i="3" s="1"/>
  <c r="M101" i="3"/>
  <c r="AA100" i="3"/>
  <c r="Y100" i="3"/>
  <c r="X100" i="3"/>
  <c r="N100" i="3"/>
  <c r="V100" i="3" s="1"/>
  <c r="M100" i="3"/>
  <c r="Y99" i="3"/>
  <c r="X99" i="3"/>
  <c r="N99" i="3"/>
  <c r="V99" i="3" s="1"/>
  <c r="M99" i="3"/>
  <c r="AA98" i="3"/>
  <c r="Y98" i="3"/>
  <c r="X98" i="3"/>
  <c r="N98" i="3"/>
  <c r="V98" i="3" s="1"/>
  <c r="M98" i="3"/>
  <c r="AA97" i="3"/>
  <c r="Y97" i="3"/>
  <c r="X97" i="3"/>
  <c r="N97" i="3"/>
  <c r="V97" i="3" s="1"/>
  <c r="M97" i="3"/>
  <c r="AA96" i="3"/>
  <c r="Y96" i="3"/>
  <c r="X96" i="3"/>
  <c r="N96" i="3"/>
  <c r="V96" i="3" s="1"/>
  <c r="M96" i="3"/>
  <c r="AA95" i="3"/>
  <c r="Y95" i="3"/>
  <c r="X95" i="3"/>
  <c r="N95" i="3"/>
  <c r="V95" i="3" s="1"/>
  <c r="M95" i="3"/>
  <c r="AA94" i="3"/>
  <c r="Y94" i="3"/>
  <c r="X94" i="3"/>
  <c r="N94" i="3"/>
  <c r="V94" i="3" s="1"/>
  <c r="M94" i="3"/>
  <c r="AA93" i="3"/>
  <c r="Y93" i="3"/>
  <c r="X93" i="3"/>
  <c r="N93" i="3"/>
  <c r="V93" i="3" s="1"/>
  <c r="M93" i="3"/>
  <c r="AA92" i="3"/>
  <c r="Y92" i="3"/>
  <c r="X92" i="3"/>
  <c r="N92" i="3"/>
  <c r="V92" i="3" s="1"/>
  <c r="M92" i="3"/>
  <c r="AA91" i="3"/>
  <c r="Y91" i="3"/>
  <c r="X91" i="3"/>
  <c r="N91" i="3"/>
  <c r="V91" i="3" s="1"/>
  <c r="M91" i="3"/>
  <c r="AA90" i="3"/>
  <c r="Y90" i="3"/>
  <c r="X90" i="3"/>
  <c r="N90" i="3"/>
  <c r="V90" i="3" s="1"/>
  <c r="M90" i="3"/>
  <c r="AA89" i="3"/>
  <c r="Y89" i="3"/>
  <c r="X89" i="3"/>
  <c r="N89" i="3"/>
  <c r="V89" i="3" s="1"/>
  <c r="M89" i="3"/>
  <c r="AA88" i="3"/>
  <c r="Y88" i="3"/>
  <c r="X88" i="3"/>
  <c r="N88" i="3"/>
  <c r="V88" i="3" s="1"/>
  <c r="M88" i="3"/>
  <c r="AA87" i="3"/>
  <c r="Y87" i="3"/>
  <c r="X87" i="3"/>
  <c r="N87" i="3"/>
  <c r="V87" i="3" s="1"/>
  <c r="M87" i="3"/>
  <c r="AA86" i="3"/>
  <c r="Y86" i="3"/>
  <c r="X86" i="3"/>
  <c r="N86" i="3"/>
  <c r="V86" i="3" s="1"/>
  <c r="M86" i="3"/>
  <c r="AA85" i="3"/>
  <c r="Y85" i="3"/>
  <c r="X85" i="3"/>
  <c r="N85" i="3"/>
  <c r="V85" i="3" s="1"/>
  <c r="M85" i="3"/>
  <c r="AA84" i="3"/>
  <c r="Y84" i="3"/>
  <c r="X84" i="3"/>
  <c r="N84" i="3"/>
  <c r="V84" i="3" s="1"/>
  <c r="M84" i="3"/>
  <c r="AA83" i="3"/>
  <c r="Y83" i="3"/>
  <c r="X83" i="3"/>
  <c r="N83" i="3"/>
  <c r="V83" i="3" s="1"/>
  <c r="M83" i="3"/>
  <c r="AA82" i="3"/>
  <c r="Y82" i="3"/>
  <c r="X82" i="3"/>
  <c r="N82" i="3"/>
  <c r="V82" i="3" s="1"/>
  <c r="M82" i="3"/>
  <c r="AA81" i="3"/>
  <c r="Y81" i="3"/>
  <c r="X81" i="3"/>
  <c r="N81" i="3"/>
  <c r="V81" i="3" s="1"/>
  <c r="M81" i="3"/>
  <c r="AA80" i="3"/>
  <c r="Y80" i="3"/>
  <c r="X80" i="3"/>
  <c r="N80" i="3"/>
  <c r="V80" i="3" s="1"/>
  <c r="M80" i="3"/>
  <c r="AA79" i="3"/>
  <c r="Y79" i="3"/>
  <c r="X79" i="3"/>
  <c r="N79" i="3"/>
  <c r="V79" i="3" s="1"/>
  <c r="M79" i="3"/>
  <c r="AA78" i="3"/>
  <c r="Y78" i="3"/>
  <c r="X78" i="3"/>
  <c r="N78" i="3"/>
  <c r="V78" i="3" s="1"/>
  <c r="M78" i="3"/>
  <c r="AA77" i="3"/>
  <c r="Y77" i="3"/>
  <c r="X77" i="3"/>
  <c r="N77" i="3"/>
  <c r="V77" i="3" s="1"/>
  <c r="W77" i="3" s="1"/>
  <c r="M77" i="3"/>
  <c r="AA76" i="3"/>
  <c r="Y76" i="3"/>
  <c r="X76" i="3"/>
  <c r="N76" i="3"/>
  <c r="V76" i="3" s="1"/>
  <c r="M76" i="3"/>
  <c r="AA75" i="3"/>
  <c r="Y75" i="3"/>
  <c r="X75" i="3"/>
  <c r="N75" i="3"/>
  <c r="V75" i="3" s="1"/>
  <c r="M75" i="3"/>
  <c r="AA74" i="3"/>
  <c r="Y74" i="3"/>
  <c r="X74" i="3"/>
  <c r="N74" i="3"/>
  <c r="V74" i="3" s="1"/>
  <c r="M74" i="3"/>
  <c r="AA73" i="3"/>
  <c r="Y73" i="3"/>
  <c r="X73" i="3"/>
  <c r="N73" i="3"/>
  <c r="V73" i="3" s="1"/>
  <c r="W73" i="3" s="1"/>
  <c r="M73" i="3"/>
  <c r="AA72" i="3"/>
  <c r="Y72" i="3"/>
  <c r="X72" i="3"/>
  <c r="N72" i="3"/>
  <c r="V72" i="3" s="1"/>
  <c r="W72" i="3" s="1"/>
  <c r="M72" i="3"/>
  <c r="AA71" i="3"/>
  <c r="Y71" i="3"/>
  <c r="X71" i="3"/>
  <c r="N71" i="3"/>
  <c r="V71" i="3" s="1"/>
  <c r="W71" i="3" s="1"/>
  <c r="M71" i="3"/>
  <c r="AA70" i="3"/>
  <c r="Y70" i="3"/>
  <c r="X70" i="3"/>
  <c r="N70" i="3"/>
  <c r="V70" i="3" s="1"/>
  <c r="M70" i="3"/>
  <c r="AA69" i="3"/>
  <c r="Y69" i="3"/>
  <c r="X69" i="3"/>
  <c r="N69" i="3"/>
  <c r="V69" i="3" s="1"/>
  <c r="M69" i="3"/>
  <c r="AA68" i="3"/>
  <c r="Y68" i="3"/>
  <c r="X68" i="3"/>
  <c r="N68" i="3"/>
  <c r="V68" i="3" s="1"/>
  <c r="M68" i="3"/>
  <c r="AA67" i="3"/>
  <c r="Y67" i="3"/>
  <c r="X67" i="3"/>
  <c r="N67" i="3"/>
  <c r="V67" i="3" s="1"/>
  <c r="W67" i="3" s="1"/>
  <c r="M67" i="3"/>
  <c r="AA66" i="3"/>
  <c r="Y66" i="3"/>
  <c r="X66" i="3"/>
  <c r="N66" i="3"/>
  <c r="V66" i="3" s="1"/>
  <c r="W66" i="3" s="1"/>
  <c r="M66" i="3"/>
  <c r="AA65" i="3"/>
  <c r="Y65" i="3"/>
  <c r="X65" i="3"/>
  <c r="N65" i="3"/>
  <c r="V65" i="3" s="1"/>
  <c r="M65" i="3"/>
  <c r="AA64" i="3"/>
  <c r="Y64" i="3"/>
  <c r="X64" i="3"/>
  <c r="N64" i="3"/>
  <c r="V64" i="3" s="1"/>
  <c r="M64" i="3"/>
  <c r="AA63" i="3"/>
  <c r="Y63" i="3"/>
  <c r="X63" i="3"/>
  <c r="N63" i="3"/>
  <c r="V63" i="3" s="1"/>
  <c r="W63" i="3" s="1"/>
  <c r="M63" i="3"/>
  <c r="AA62" i="3"/>
  <c r="Y62" i="3"/>
  <c r="X62" i="3"/>
  <c r="N62" i="3"/>
  <c r="V62" i="3" s="1"/>
  <c r="M62" i="3"/>
  <c r="AA61" i="3"/>
  <c r="Y61" i="3"/>
  <c r="X61" i="3"/>
  <c r="N61" i="3"/>
  <c r="V61" i="3" s="1"/>
  <c r="M61" i="3"/>
  <c r="AA60" i="3"/>
  <c r="Y60" i="3"/>
  <c r="X60" i="3"/>
  <c r="N60" i="3"/>
  <c r="V60" i="3" s="1"/>
  <c r="M60" i="3"/>
  <c r="W60" i="3" s="1"/>
  <c r="AA59" i="3"/>
  <c r="Y59" i="3"/>
  <c r="X59" i="3"/>
  <c r="N59" i="3"/>
  <c r="V59" i="3" s="1"/>
  <c r="M59" i="3"/>
  <c r="AA58" i="3"/>
  <c r="Y58" i="3"/>
  <c r="X58" i="3"/>
  <c r="N58" i="3"/>
  <c r="V58" i="3" s="1"/>
  <c r="W58" i="3" s="1"/>
  <c r="M58" i="3"/>
  <c r="AA57" i="3"/>
  <c r="Y57" i="3"/>
  <c r="X57" i="3"/>
  <c r="N57" i="3"/>
  <c r="V57" i="3" s="1"/>
  <c r="M57" i="3"/>
  <c r="W57" i="3" s="1"/>
  <c r="AA56" i="3"/>
  <c r="Y56" i="3"/>
  <c r="X56" i="3"/>
  <c r="N56" i="3"/>
  <c r="V56" i="3" s="1"/>
  <c r="W56" i="3" s="1"/>
  <c r="M56" i="3"/>
  <c r="AA55" i="3"/>
  <c r="Y55" i="3"/>
  <c r="X55" i="3"/>
  <c r="N55" i="3"/>
  <c r="V55" i="3" s="1"/>
  <c r="W55" i="3" s="1"/>
  <c r="M55" i="3"/>
  <c r="AA54" i="3"/>
  <c r="Y54" i="3"/>
  <c r="X54" i="3"/>
  <c r="N54" i="3"/>
  <c r="V54" i="3" s="1"/>
  <c r="W54" i="3" s="1"/>
  <c r="M54" i="3"/>
  <c r="AA53" i="3"/>
  <c r="Y53" i="3"/>
  <c r="X53" i="3"/>
  <c r="N53" i="3"/>
  <c r="V53" i="3" s="1"/>
  <c r="M53" i="3"/>
  <c r="AA52" i="3"/>
  <c r="Y52" i="3"/>
  <c r="X52" i="3"/>
  <c r="N52" i="3"/>
  <c r="V52" i="3" s="1"/>
  <c r="M52" i="3"/>
  <c r="AA51" i="3"/>
  <c r="Y51" i="3"/>
  <c r="X51" i="3"/>
  <c r="N51" i="3"/>
  <c r="V51" i="3" s="1"/>
  <c r="M51" i="3"/>
  <c r="AA50" i="3"/>
  <c r="Y50" i="3"/>
  <c r="X50" i="3"/>
  <c r="N50" i="3"/>
  <c r="V50" i="3" s="1"/>
  <c r="M50" i="3"/>
  <c r="AA49" i="3"/>
  <c r="Y49" i="3"/>
  <c r="X49" i="3"/>
  <c r="N49" i="3"/>
  <c r="V49" i="3" s="1"/>
  <c r="M49" i="3"/>
  <c r="AA48" i="3"/>
  <c r="Y48" i="3"/>
  <c r="X48" i="3"/>
  <c r="N48" i="3"/>
  <c r="V48" i="3" s="1"/>
  <c r="M48" i="3"/>
  <c r="AA47" i="3"/>
  <c r="Y47" i="3"/>
  <c r="X47" i="3"/>
  <c r="N47" i="3"/>
  <c r="V47" i="3" s="1"/>
  <c r="M47" i="3"/>
  <c r="AA46" i="3"/>
  <c r="Y46" i="3"/>
  <c r="X46" i="3"/>
  <c r="N46" i="3"/>
  <c r="V46" i="3" s="1"/>
  <c r="M46" i="3"/>
  <c r="AA45" i="3"/>
  <c r="Y45" i="3"/>
  <c r="X45" i="3"/>
  <c r="N45" i="3"/>
  <c r="V45" i="3" s="1"/>
  <c r="M45" i="3"/>
  <c r="AA44" i="3"/>
  <c r="Y44" i="3"/>
  <c r="X44" i="3"/>
  <c r="N44" i="3"/>
  <c r="V44" i="3" s="1"/>
  <c r="M44" i="3"/>
  <c r="AA43" i="3"/>
  <c r="Y43" i="3"/>
  <c r="X43" i="3"/>
  <c r="N43" i="3"/>
  <c r="V43" i="3" s="1"/>
  <c r="W43" i="3" s="1"/>
  <c r="M43" i="3"/>
  <c r="AA42" i="3"/>
  <c r="Y42" i="3"/>
  <c r="X42" i="3"/>
  <c r="N42" i="3"/>
  <c r="V42" i="3" s="1"/>
  <c r="W42" i="3" s="1"/>
  <c r="M42" i="3"/>
  <c r="AA41" i="3"/>
  <c r="Y41" i="3"/>
  <c r="X41" i="3"/>
  <c r="N41" i="3"/>
  <c r="V41" i="3" s="1"/>
  <c r="M41" i="3"/>
  <c r="AA40" i="3"/>
  <c r="Y40" i="3"/>
  <c r="X40" i="3"/>
  <c r="N40" i="3"/>
  <c r="V40" i="3" s="1"/>
  <c r="W40" i="3" s="1"/>
  <c r="M40" i="3"/>
  <c r="AA39" i="3"/>
  <c r="Y39" i="3"/>
  <c r="X39" i="3"/>
  <c r="N39" i="3"/>
  <c r="V39" i="3" s="1"/>
  <c r="M39" i="3"/>
  <c r="AA38" i="3"/>
  <c r="Y38" i="3"/>
  <c r="X38" i="3"/>
  <c r="N38" i="3"/>
  <c r="V38" i="3" s="1"/>
  <c r="W38" i="3" s="1"/>
  <c r="M38" i="3"/>
  <c r="AA37" i="3"/>
  <c r="Y37" i="3"/>
  <c r="X37" i="3"/>
  <c r="N37" i="3"/>
  <c r="V37" i="3" s="1"/>
  <c r="M37" i="3"/>
  <c r="AA36" i="3"/>
  <c r="Y36" i="3"/>
  <c r="X36" i="3"/>
  <c r="N36" i="3"/>
  <c r="V36" i="3" s="1"/>
  <c r="M36" i="3"/>
  <c r="W36" i="3" s="1"/>
  <c r="AA35" i="3"/>
  <c r="Y35" i="3"/>
  <c r="X35" i="3"/>
  <c r="N35" i="3"/>
  <c r="V35" i="3" s="1"/>
  <c r="M35" i="3"/>
  <c r="AA34" i="3"/>
  <c r="Y34" i="3"/>
  <c r="X34" i="3"/>
  <c r="N34" i="3"/>
  <c r="V34" i="3" s="1"/>
  <c r="M34" i="3"/>
  <c r="AA33" i="3"/>
  <c r="Y33" i="3"/>
  <c r="X33" i="3"/>
  <c r="N33" i="3"/>
  <c r="V33" i="3" s="1"/>
  <c r="M33" i="3"/>
  <c r="AA32" i="3"/>
  <c r="Y32" i="3"/>
  <c r="X32" i="3"/>
  <c r="N32" i="3"/>
  <c r="V32" i="3" s="1"/>
  <c r="M32" i="3"/>
  <c r="AA31" i="3"/>
  <c r="Y31" i="3"/>
  <c r="X31" i="3"/>
  <c r="N31" i="3"/>
  <c r="V31" i="3" s="1"/>
  <c r="M31" i="3"/>
  <c r="AA30" i="3"/>
  <c r="Y30" i="3"/>
  <c r="X30" i="3"/>
  <c r="N30" i="3"/>
  <c r="V30" i="3" s="1"/>
  <c r="W30" i="3" s="1"/>
  <c r="M30" i="3"/>
  <c r="AA29" i="3"/>
  <c r="Y29" i="3"/>
  <c r="X29" i="3"/>
  <c r="N29" i="3"/>
  <c r="V29" i="3" s="1"/>
  <c r="M29" i="3"/>
  <c r="AA28" i="3"/>
  <c r="Y28" i="3"/>
  <c r="X28" i="3"/>
  <c r="N28" i="3"/>
  <c r="V28" i="3" s="1"/>
  <c r="M28" i="3"/>
  <c r="AA27" i="3"/>
  <c r="Y27" i="3"/>
  <c r="X27" i="3"/>
  <c r="N27" i="3"/>
  <c r="V27" i="3" s="1"/>
  <c r="M27" i="3"/>
  <c r="AA26" i="3"/>
  <c r="Y26" i="3"/>
  <c r="X26" i="3"/>
  <c r="N26" i="3"/>
  <c r="V26" i="3" s="1"/>
  <c r="M26" i="3"/>
  <c r="AA25" i="3"/>
  <c r="Y25" i="3"/>
  <c r="X25" i="3"/>
  <c r="N25" i="3"/>
  <c r="V25" i="3" s="1"/>
  <c r="M25" i="3"/>
  <c r="AA24" i="3"/>
  <c r="Y24" i="3"/>
  <c r="X24" i="3"/>
  <c r="N24" i="3"/>
  <c r="V24" i="3" s="1"/>
  <c r="M24" i="3"/>
  <c r="AA23" i="3"/>
  <c r="Y23" i="3"/>
  <c r="X23" i="3"/>
  <c r="N23" i="3"/>
  <c r="V23" i="3" s="1"/>
  <c r="M23" i="3"/>
  <c r="AA22" i="3"/>
  <c r="Y22" i="3"/>
  <c r="X22" i="3"/>
  <c r="N22" i="3"/>
  <c r="V22" i="3" s="1"/>
  <c r="M22" i="3"/>
  <c r="AA21" i="3"/>
  <c r="Y21" i="3"/>
  <c r="X21" i="3"/>
  <c r="N21" i="3"/>
  <c r="V21" i="3" s="1"/>
  <c r="M21" i="3"/>
  <c r="AA20" i="3"/>
  <c r="Y20" i="3"/>
  <c r="X20" i="3"/>
  <c r="N20" i="3"/>
  <c r="V20" i="3" s="1"/>
  <c r="M20" i="3"/>
  <c r="AA19" i="3"/>
  <c r="Y19" i="3"/>
  <c r="X19" i="3"/>
  <c r="N19" i="3"/>
  <c r="V19" i="3" s="1"/>
  <c r="W19" i="3" s="1"/>
  <c r="M19" i="3"/>
  <c r="AA18" i="3"/>
  <c r="Y18" i="3"/>
  <c r="X18" i="3"/>
  <c r="N18" i="3"/>
  <c r="V18" i="3" s="1"/>
  <c r="M18" i="3"/>
  <c r="AA17" i="3"/>
  <c r="Y17" i="3"/>
  <c r="X17" i="3"/>
  <c r="N17" i="3"/>
  <c r="V17" i="3" s="1"/>
  <c r="M17" i="3"/>
  <c r="W17" i="3" s="1"/>
  <c r="AA16" i="3"/>
  <c r="Y16" i="3"/>
  <c r="X16" i="3"/>
  <c r="N16" i="3"/>
  <c r="V16" i="3" s="1"/>
  <c r="M16" i="3"/>
  <c r="AA15" i="3"/>
  <c r="Y15" i="3"/>
  <c r="X15" i="3"/>
  <c r="N15" i="3"/>
  <c r="V15" i="3" s="1"/>
  <c r="M15" i="3"/>
  <c r="AA14" i="3"/>
  <c r="Y14" i="3"/>
  <c r="X14" i="3"/>
  <c r="N14" i="3"/>
  <c r="V14" i="3" s="1"/>
  <c r="M14" i="3"/>
  <c r="AA13" i="3"/>
  <c r="Y13" i="3"/>
  <c r="X13" i="3"/>
  <c r="N13" i="3"/>
  <c r="V13" i="3" s="1"/>
  <c r="M13" i="3"/>
  <c r="AA12" i="3"/>
  <c r="Y12" i="3"/>
  <c r="X12" i="3"/>
  <c r="N12" i="3"/>
  <c r="V12" i="3" s="1"/>
  <c r="M12" i="3"/>
  <c r="AA11" i="3"/>
  <c r="Y11" i="3"/>
  <c r="X11" i="3"/>
  <c r="N11" i="3"/>
  <c r="V11" i="3" s="1"/>
  <c r="M11" i="3"/>
  <c r="W11" i="3" s="1"/>
  <c r="AA10" i="3"/>
  <c r="Y10" i="3"/>
  <c r="X10" i="3"/>
  <c r="N10" i="3"/>
  <c r="V10" i="3" s="1"/>
  <c r="M10" i="3"/>
  <c r="AA9" i="3"/>
  <c r="Y9" i="3"/>
  <c r="X9" i="3"/>
  <c r="N9" i="3"/>
  <c r="V9" i="3" s="1"/>
  <c r="M9" i="3"/>
  <c r="W9" i="3" s="1"/>
  <c r="AA8" i="3"/>
  <c r="Y8" i="3"/>
  <c r="X8" i="3"/>
  <c r="N8" i="3"/>
  <c r="V8" i="3" s="1"/>
  <c r="W8" i="3" s="1"/>
  <c r="M8" i="3"/>
  <c r="AA7" i="3"/>
  <c r="Y7" i="3"/>
  <c r="X7" i="3"/>
  <c r="N7" i="3"/>
  <c r="V7" i="3" s="1"/>
  <c r="M7" i="3"/>
  <c r="AA6" i="3"/>
  <c r="Y6" i="3"/>
  <c r="X6" i="3"/>
  <c r="N6" i="3"/>
  <c r="V6" i="3" s="1"/>
  <c r="W6" i="3" s="1"/>
  <c r="M6" i="3"/>
  <c r="AA5" i="3"/>
  <c r="Y5" i="3"/>
  <c r="X5" i="3"/>
  <c r="N5" i="3"/>
  <c r="V5" i="3" s="1"/>
  <c r="M5" i="3"/>
  <c r="AA4" i="3"/>
  <c r="Y4" i="3"/>
  <c r="X4" i="3"/>
  <c r="N4" i="3"/>
  <c r="V4" i="3" s="1"/>
  <c r="M4" i="3"/>
  <c r="AA3" i="3"/>
  <c r="Y3" i="3"/>
  <c r="X3" i="3"/>
  <c r="N3" i="3"/>
  <c r="V3" i="3" s="1"/>
  <c r="W3" i="3" s="1"/>
  <c r="M3" i="3"/>
  <c r="AA2" i="3"/>
  <c r="D28" i="1" s="1"/>
  <c r="Y2" i="3"/>
  <c r="X2" i="3"/>
  <c r="N2" i="3"/>
  <c r="V2" i="3" s="1"/>
  <c r="M2" i="3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F4" i="2"/>
  <c r="H3" i="2"/>
  <c r="F3" i="2"/>
  <c r="H2" i="2"/>
  <c r="F2" i="2"/>
  <c r="E38" i="1"/>
  <c r="E37" i="1"/>
  <c r="E32" i="1"/>
  <c r="E31" i="1"/>
  <c r="E30" i="1"/>
  <c r="E29" i="1"/>
  <c r="E28" i="1"/>
  <c r="E27" i="1"/>
  <c r="E26" i="1"/>
  <c r="E25" i="1"/>
  <c r="E21" i="1"/>
  <c r="E20" i="1"/>
  <c r="E19" i="1"/>
  <c r="E18" i="1"/>
  <c r="E17" i="1"/>
  <c r="E16" i="1"/>
  <c r="E15" i="1"/>
  <c r="E14" i="1"/>
  <c r="D9" i="1"/>
  <c r="A8" i="1"/>
  <c r="A7" i="1"/>
  <c r="C6" i="1"/>
  <c r="W94" i="3" l="1"/>
  <c r="W104" i="3"/>
  <c r="W102" i="3"/>
  <c r="W96" i="3"/>
  <c r="W176" i="3"/>
  <c r="W174" i="3"/>
  <c r="W170" i="3"/>
  <c r="W168" i="3"/>
  <c r="W166" i="3"/>
  <c r="W160" i="3"/>
  <c r="W159" i="3"/>
  <c r="W139" i="3"/>
  <c r="W93" i="3"/>
  <c r="W89" i="3"/>
  <c r="W50" i="3"/>
  <c r="W48" i="3"/>
  <c r="W47" i="3"/>
  <c r="W46" i="3"/>
  <c r="W35" i="3"/>
  <c r="W32" i="3"/>
  <c r="W22" i="3"/>
  <c r="W16" i="3"/>
  <c r="W5" i="3"/>
  <c r="W158" i="3"/>
  <c r="W154" i="3"/>
  <c r="W152" i="3"/>
  <c r="W150" i="3"/>
  <c r="W146" i="3"/>
  <c r="W145" i="3"/>
  <c r="W144" i="3"/>
  <c r="W143" i="3"/>
  <c r="W142" i="3"/>
  <c r="W132" i="3"/>
  <c r="W99" i="3"/>
  <c r="W97" i="3"/>
  <c r="W81" i="3"/>
  <c r="W74" i="3"/>
  <c r="W62" i="3"/>
  <c r="W27" i="3"/>
  <c r="W24" i="3"/>
  <c r="W14" i="3"/>
  <c r="W175" i="3"/>
  <c r="W173" i="3"/>
  <c r="W169" i="3"/>
  <c r="W167" i="3"/>
  <c r="W165" i="3"/>
  <c r="W161" i="3"/>
  <c r="W138" i="3"/>
  <c r="W75" i="3"/>
  <c r="W70" i="3"/>
  <c r="W64" i="3"/>
  <c r="W61" i="3"/>
  <c r="W51" i="3"/>
  <c r="W157" i="3"/>
  <c r="W153" i="3"/>
  <c r="W151" i="3"/>
  <c r="W149" i="3"/>
  <c r="W136" i="3"/>
  <c r="W135" i="3"/>
  <c r="W130" i="3"/>
  <c r="W127" i="3"/>
  <c r="W121" i="3"/>
  <c r="W119" i="3"/>
  <c r="W117" i="3"/>
  <c r="W113" i="3"/>
  <c r="W111" i="3"/>
  <c r="W109" i="3"/>
  <c r="W105" i="3"/>
  <c r="W103" i="3"/>
  <c r="W101" i="3"/>
  <c r="W98" i="3"/>
  <c r="W95" i="3"/>
  <c r="W65" i="3"/>
  <c r="W39" i="3"/>
  <c r="W34" i="3"/>
  <c r="W33" i="3"/>
  <c r="W31" i="3"/>
  <c r="W26" i="3"/>
  <c r="W25" i="3"/>
  <c r="W23" i="3"/>
  <c r="W18" i="3"/>
  <c r="W15" i="3"/>
  <c r="W10" i="3"/>
  <c r="W7" i="3"/>
  <c r="W2" i="3"/>
  <c r="W49" i="3"/>
  <c r="W41" i="3"/>
  <c r="W82" i="3"/>
  <c r="W78" i="3"/>
  <c r="W87" i="3"/>
  <c r="W90" i="3"/>
  <c r="W88" i="3"/>
  <c r="W79" i="3"/>
  <c r="W80" i="3"/>
  <c r="W91" i="3"/>
  <c r="W84" i="3"/>
  <c r="W83" i="3"/>
  <c r="W86" i="3"/>
  <c r="E22" i="1"/>
  <c r="E33" i="1"/>
  <c r="W155" i="3"/>
  <c r="W21" i="3"/>
  <c r="W53" i="3"/>
  <c r="W69" i="3"/>
  <c r="W108" i="3"/>
  <c r="W179" i="3"/>
  <c r="W4" i="3"/>
  <c r="W59" i="3"/>
  <c r="W85" i="3"/>
  <c r="W92" i="3"/>
  <c r="W181" i="3"/>
  <c r="W13" i="3"/>
  <c r="W20" i="3"/>
  <c r="W29" i="3"/>
  <c r="W45" i="3"/>
  <c r="W52" i="3"/>
  <c r="W68" i="3"/>
  <c r="W107" i="3"/>
  <c r="W141" i="3"/>
  <c r="W147" i="3"/>
  <c r="W156" i="3"/>
  <c r="W162" i="3"/>
  <c r="W171" i="3"/>
  <c r="W180" i="3"/>
  <c r="W12" i="3"/>
  <c r="W28" i="3"/>
  <c r="W37" i="3"/>
  <c r="W44" i="3"/>
  <c r="W76" i="3"/>
  <c r="W100" i="3"/>
  <c r="W106" i="3"/>
  <c r="W115" i="3"/>
  <c r="W124" i="3"/>
  <c r="W140" i="3"/>
  <c r="E35" i="1" l="1"/>
</calcChain>
</file>

<file path=xl/sharedStrings.xml><?xml version="1.0" encoding="utf-8"?>
<sst xmlns="http://schemas.openxmlformats.org/spreadsheetml/2006/main" count="594" uniqueCount="235">
  <si>
    <t>CAPITAL BRIDGE PRIVATE LIMITED</t>
  </si>
  <si>
    <t>PAYSLIP</t>
  </si>
  <si>
    <t>No: 46/1, Thannekubura, Kandy</t>
  </si>
  <si>
    <t>Email: info@capitalbridge.lk Tel: 081 763 2009</t>
  </si>
  <si>
    <t>EMPLOYEE INFORMATION</t>
  </si>
  <si>
    <t>PAY DATE</t>
  </si>
  <si>
    <t>PAY TYPE</t>
  </si>
  <si>
    <t>Salary Month</t>
  </si>
  <si>
    <t>D M T S Disanayake</t>
  </si>
  <si>
    <t>Monthly</t>
  </si>
  <si>
    <t>PAYROLL #</t>
  </si>
  <si>
    <t>NI NUMBER</t>
  </si>
  <si>
    <t>Position:</t>
  </si>
  <si>
    <t>Department</t>
  </si>
  <si>
    <t>Payment Method:</t>
  </si>
  <si>
    <t>Online</t>
  </si>
  <si>
    <t>EARNINGS</t>
  </si>
  <si>
    <t>CURRENT</t>
  </si>
  <si>
    <t>Basic Salary</t>
  </si>
  <si>
    <t>Budgeted Allowances</t>
  </si>
  <si>
    <t>Performance Allowances</t>
  </si>
  <si>
    <t xml:space="preserve">Field  Allowances </t>
  </si>
  <si>
    <t>Travelling Allowances</t>
  </si>
  <si>
    <t>Bike Maintained Allowance</t>
  </si>
  <si>
    <t>Phone Allowance</t>
  </si>
  <si>
    <t>Incentives</t>
  </si>
  <si>
    <t>GROSS PAY</t>
  </si>
  <si>
    <t>DEDUCTIONS</t>
  </si>
  <si>
    <t>EPF 8%</t>
  </si>
  <si>
    <t xml:space="preserve">Salary Advance </t>
  </si>
  <si>
    <t>Travelling Advance</t>
  </si>
  <si>
    <t xml:space="preserve">Staff Loan </t>
  </si>
  <si>
    <t>Staff Loan Interest</t>
  </si>
  <si>
    <t>Other Deduction</t>
  </si>
  <si>
    <t>Incentives Paid</t>
  </si>
  <si>
    <t>Paye Tax</t>
  </si>
  <si>
    <t>TOTAL DEDUCTIONS</t>
  </si>
  <si>
    <t>NET PAY</t>
  </si>
  <si>
    <t>Employer Contributions</t>
  </si>
  <si>
    <t>EPF 12%</t>
  </si>
  <si>
    <t>ETF 3%</t>
  </si>
  <si>
    <t>___________________________</t>
  </si>
  <si>
    <t>Prepared By</t>
  </si>
  <si>
    <t>Authorized Signature / Director</t>
  </si>
  <si>
    <t>If you have any questions about this payslip, please contact:</t>
  </si>
  <si>
    <t>[Capital bridge (Pvt) Ltd, Email: info@capitalbridge.lk Tel: 081 763 2009]</t>
  </si>
  <si>
    <t>Employee Name</t>
  </si>
  <si>
    <t>EPF No</t>
  </si>
  <si>
    <t>Designation</t>
  </si>
  <si>
    <t>Employment From</t>
  </si>
  <si>
    <t>Employment To</t>
  </si>
  <si>
    <t>NIC</t>
  </si>
  <si>
    <t>Age</t>
  </si>
  <si>
    <t>Address</t>
  </si>
  <si>
    <t>Address 01</t>
  </si>
  <si>
    <t>Address 02</t>
  </si>
  <si>
    <t>Address 03</t>
  </si>
  <si>
    <t>Email</t>
  </si>
  <si>
    <t>Phone Number</t>
  </si>
  <si>
    <t>Active</t>
  </si>
  <si>
    <t>R A A S Ranasinghe</t>
  </si>
  <si>
    <t>Director</t>
  </si>
  <si>
    <t xml:space="preserve">Executive Management </t>
  </si>
  <si>
    <t>771340318V</t>
  </si>
  <si>
    <t>3/1,Mawath 02, Aruppola, Kandy</t>
  </si>
  <si>
    <t>32</t>
  </si>
  <si>
    <t>Pikakanda Rd</t>
  </si>
  <si>
    <t>Kandy</t>
  </si>
  <si>
    <t>Yes</t>
  </si>
  <si>
    <t>P G U N Wimalasooriya</t>
  </si>
  <si>
    <t>Account Assistant</t>
  </si>
  <si>
    <t xml:space="preserve">Finance &amp; Accounts </t>
  </si>
  <si>
    <t>995632985V</t>
  </si>
  <si>
    <t>218/C/1,Pahala Kondadeniya,Katugastota</t>
  </si>
  <si>
    <t>218/C/1</t>
  </si>
  <si>
    <t>Pahala Kondadeniya</t>
  </si>
  <si>
    <t>Katugastota</t>
  </si>
  <si>
    <t>N M A G M Peiris</t>
  </si>
  <si>
    <t>Assistant Branch Maneger</t>
  </si>
  <si>
    <t xml:space="preserve">Loan Operations &amp; Field </t>
  </si>
  <si>
    <t>911520591V</t>
  </si>
  <si>
    <t>104/2,Walgama,Handessa</t>
  </si>
  <si>
    <t>104/2</t>
  </si>
  <si>
    <t>Walgama</t>
  </si>
  <si>
    <t>Handessa</t>
  </si>
  <si>
    <t>K R T Hemantha</t>
  </si>
  <si>
    <t>Field Executive</t>
  </si>
  <si>
    <t>950211385V</t>
  </si>
  <si>
    <t>45/17,Nuwarathanna Rd,Waththegama</t>
  </si>
  <si>
    <t>45/17</t>
  </si>
  <si>
    <t>Nuwarathanna Rd</t>
  </si>
  <si>
    <t>Waththegama</t>
  </si>
  <si>
    <t>W M H M Weerasinghe</t>
  </si>
  <si>
    <t>Assistant Accountant</t>
  </si>
  <si>
    <t>992512156V</t>
  </si>
  <si>
    <t>47/7/A,Richard Pamunuwa MW,Matale</t>
  </si>
  <si>
    <t>47/7/A</t>
  </si>
  <si>
    <t>Richard Pamunuwa MW</t>
  </si>
  <si>
    <t>Matale</t>
  </si>
  <si>
    <t>R W D S Wijerathna</t>
  </si>
  <si>
    <t>19/1,Thannekubura,Kandy</t>
  </si>
  <si>
    <t>19/1</t>
  </si>
  <si>
    <t>Thannekubura</t>
  </si>
  <si>
    <t>S Wathmi Sankalpana</t>
  </si>
  <si>
    <t>Trainee Account Clark</t>
  </si>
  <si>
    <t xml:space="preserve">Back Office </t>
  </si>
  <si>
    <t>54,Alhena,Katawala Lewla</t>
  </si>
  <si>
    <t>54</t>
  </si>
  <si>
    <t>Alhena</t>
  </si>
  <si>
    <t xml:space="preserve">Katawala, Lewla </t>
  </si>
  <si>
    <t>E M P P W O R K Jayawardana</t>
  </si>
  <si>
    <t>Trainee Field Executive</t>
  </si>
  <si>
    <t>103,Watapana,Putuhapuwa</t>
  </si>
  <si>
    <t>103</t>
  </si>
  <si>
    <t>Watapana</t>
  </si>
  <si>
    <t>Putuhapuwa</t>
  </si>
  <si>
    <t>T M R L B Thennakoon</t>
  </si>
  <si>
    <t>No. 133/2, Nugepathana, Watapana, Putuhapuwa</t>
  </si>
  <si>
    <t>133/2</t>
  </si>
  <si>
    <t>Nugepathana</t>
  </si>
  <si>
    <t>Watapana, Putuhapuwa</t>
  </si>
  <si>
    <t>W K Senaverathna</t>
  </si>
  <si>
    <t>972753432V</t>
  </si>
  <si>
    <t>173/1,Palkubura,Madawala,Harispaththuwa</t>
  </si>
  <si>
    <t>173/1</t>
  </si>
  <si>
    <t>Palkubura</t>
  </si>
  <si>
    <t>Madawala, Harispaththuwa</t>
  </si>
  <si>
    <t>D R G S L Ranaweera</t>
  </si>
  <si>
    <t>29/4,Ullandupitiya,Werellagama,Kandy</t>
  </si>
  <si>
    <t>29/4</t>
  </si>
  <si>
    <t>Ullandupitiya</t>
  </si>
  <si>
    <t>Werellagama, Kandy</t>
  </si>
  <si>
    <t>W A A Heshani Bandara</t>
  </si>
  <si>
    <t>42/A,Haragama,Gurudeniya</t>
  </si>
  <si>
    <t>42/A</t>
  </si>
  <si>
    <t>Haragama</t>
  </si>
  <si>
    <t>Gurudeniya</t>
  </si>
  <si>
    <t>165/1,Amunugama,Gunnapana</t>
  </si>
  <si>
    <t>165/1</t>
  </si>
  <si>
    <t>Amunugama</t>
  </si>
  <si>
    <t>Gunnapana</t>
  </si>
  <si>
    <t>P L D B Wijewardhna</t>
  </si>
  <si>
    <t>166,Jayabima,Arabegama,Werellagama</t>
  </si>
  <si>
    <t>166</t>
  </si>
  <si>
    <t>Jayabima</t>
  </si>
  <si>
    <t>Arabegama, Werellagama</t>
  </si>
  <si>
    <t>N G L D Supunsiri</t>
  </si>
  <si>
    <t>04, Hathmunna, Pilawala</t>
  </si>
  <si>
    <t>4</t>
  </si>
  <si>
    <t>Hathmunna</t>
  </si>
  <si>
    <t>Pilawala</t>
  </si>
  <si>
    <t>Month</t>
  </si>
  <si>
    <t>Budgeted Allowance</t>
  </si>
  <si>
    <t>Performance Allowance</t>
  </si>
  <si>
    <t>Field Allowance</t>
  </si>
  <si>
    <t>Travelling Allowance</t>
  </si>
  <si>
    <t>Bike Maintenance</t>
  </si>
  <si>
    <t>Gross Salary</t>
  </si>
  <si>
    <t>Salary Advance</t>
  </si>
  <si>
    <t>Staff Loan</t>
  </si>
  <si>
    <t>PAYE Tax</t>
  </si>
  <si>
    <t>Total Deduction</t>
  </si>
  <si>
    <t>Net Salary</t>
  </si>
  <si>
    <t xml:space="preserve">Loan Instalement </t>
  </si>
  <si>
    <t>20/1</t>
  </si>
  <si>
    <t>2/3</t>
  </si>
  <si>
    <t>7/8</t>
  </si>
  <si>
    <t>3/7</t>
  </si>
  <si>
    <t>2/10</t>
  </si>
  <si>
    <t>7/12</t>
  </si>
  <si>
    <t>1/5</t>
  </si>
  <si>
    <t>1/16</t>
  </si>
  <si>
    <t>2/5</t>
  </si>
  <si>
    <t>3/10</t>
  </si>
  <si>
    <t>2/20</t>
  </si>
  <si>
    <t>3/3</t>
  </si>
  <si>
    <t>8/8</t>
  </si>
  <si>
    <t>4/7</t>
  </si>
  <si>
    <t>8/12</t>
  </si>
  <si>
    <t>2/16</t>
  </si>
  <si>
    <t>3/5</t>
  </si>
  <si>
    <t>1/6</t>
  </si>
  <si>
    <t>4/10</t>
  </si>
  <si>
    <t>3/20</t>
  </si>
  <si>
    <t>1/3</t>
  </si>
  <si>
    <t>1/8</t>
  </si>
  <si>
    <t>5/7</t>
  </si>
  <si>
    <t>9/12</t>
  </si>
  <si>
    <t>3/16</t>
  </si>
  <si>
    <t>4/5</t>
  </si>
  <si>
    <t>2/6</t>
  </si>
  <si>
    <t>5/10</t>
  </si>
  <si>
    <t>4/20</t>
  </si>
  <si>
    <t>2/8</t>
  </si>
  <si>
    <t>6/7</t>
  </si>
  <si>
    <t>10/12</t>
  </si>
  <si>
    <t>4/16</t>
  </si>
  <si>
    <t>5/5</t>
  </si>
  <si>
    <t>3/6</t>
  </si>
  <si>
    <t>6/10</t>
  </si>
  <si>
    <t>5/20</t>
  </si>
  <si>
    <t>3/8</t>
  </si>
  <si>
    <t>1/2</t>
  </si>
  <si>
    <t>11/12</t>
  </si>
  <si>
    <t>5/16</t>
  </si>
  <si>
    <t>4/6</t>
  </si>
  <si>
    <t>1/9</t>
  </si>
  <si>
    <t>October 2026</t>
  </si>
  <si>
    <t>November 2026</t>
  </si>
  <si>
    <t>December 2026</t>
  </si>
  <si>
    <t>January 2027</t>
  </si>
  <si>
    <t>February 2027</t>
  </si>
  <si>
    <t>March 2027</t>
  </si>
  <si>
    <t>077-2984772</t>
  </si>
  <si>
    <t>076-6447690</t>
  </si>
  <si>
    <t>076-8090400</t>
  </si>
  <si>
    <t>074-3910206</t>
  </si>
  <si>
    <t>076-7597550</t>
  </si>
  <si>
    <t>074-3365562</t>
  </si>
  <si>
    <t>077-2745896</t>
  </si>
  <si>
    <t>071-1074470</t>
  </si>
  <si>
    <t>072-7647478</t>
  </si>
  <si>
    <t>077-8115364</t>
  </si>
  <si>
    <t>074-2618166</t>
  </si>
  <si>
    <t>071-7297769</t>
  </si>
  <si>
    <t>075-0872988</t>
  </si>
  <si>
    <t>077-6508664</t>
  </si>
  <si>
    <t>077-6672131</t>
  </si>
  <si>
    <t>6/20</t>
  </si>
  <si>
    <t>1/10</t>
  </si>
  <si>
    <t>7/10</t>
  </si>
  <si>
    <t>12/12</t>
  </si>
  <si>
    <t>1/4</t>
  </si>
  <si>
    <t>6/16</t>
  </si>
  <si>
    <t>2/9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</si>
</sst>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_-;\-* #,##0.00_-;_-* &quot;-&quot;??_-;_-@_-"/>
    <numFmt numFmtId="165" formatCode="#,##0.00;\-#,##0.00;&quot;-&quot;"/>
    <numFmt numFmtId="166" formatCode="0;\-0;;@"/>
    <numFmt numFmtId="167" formatCode="&quot;Rs.&quot;#,##0.00"/>
    <numFmt numFmtId="168" formatCode="yyyy\-mm\-dd;@"/>
    <numFmt numFmtId="169" formatCode="&quot;No. &quot;@"/>
    <numFmt numFmtId="170" formatCode="mmmm\-yyyy"/>
    <numFmt numFmtId="171" formatCode="[$-F800]dddd\,\ mmmm\ dd\,\ yyyy"/>
    <numFmt numFmtId="172" formatCode="&quot;No. &quot;@\,"/>
    <numFmt numFmtId="173" formatCode="@\,"/>
    <numFmt numFmtId="174" formatCode="&quot;Tel: &quot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name val="Impact"/>
      <family val="2"/>
    </font>
    <font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 tint="0.499984740745262"/>
      <name val="Arial"/>
      <family val="2"/>
    </font>
    <font>
      <u/>
      <sz val="11"/>
      <color theme="1" tint="0.499984740745262"/>
      <name val="Arial"/>
      <family val="2"/>
    </font>
    <font>
      <sz val="9"/>
      <color theme="4"/>
      <name val="Arial"/>
      <family val="2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4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6FA8DC"/>
      </patternFill>
    </fill>
    <fill>
      <patternFill patternType="solid">
        <fgColor rgb="FF002060"/>
        <bgColor rgb="FF6FA8DC"/>
      </patternFill>
    </fill>
    <fill>
      <patternFill patternType="solid">
        <fgColor theme="4" tint="0.79998168889431442"/>
        <bgColor rgb="FFF3F3F3"/>
      </patternFill>
    </fill>
    <fill>
      <patternFill patternType="solid">
        <fgColor rgb="FF002060"/>
        <bgColor indexed="64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rgb="FFFFFFFF"/>
      </left>
      <right style="thick">
        <color rgb="FFFFFFFF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rgb="FFFFFFFF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medium">
        <color theme="0"/>
      </bottom>
      <diagonal/>
    </border>
    <border>
      <left style="medium">
        <color theme="0"/>
      </left>
      <right style="thick">
        <color theme="0"/>
      </right>
      <top/>
      <bottom style="medium">
        <color theme="0"/>
      </bottom>
      <diagonal/>
    </border>
  </borders>
  <cellStyleXfs count="3">
    <xf numFmtId="0" fontId="0" fillId="0" borderId="0"/>
    <xf numFmtId="164" fontId="1" fillId="0" borderId="0"/>
    <xf numFmtId="164" fontId="1" fillId="0" borderId="0"/>
  </cellStyleXfs>
  <cellXfs count="79">
    <xf numFmtId="0" fontId="0" fillId="0" borderId="0" xfId="0"/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center"/>
    </xf>
    <xf numFmtId="0" fontId="12" fillId="3" borderId="0" xfId="0" applyFont="1" applyFill="1" applyAlignment="1">
      <alignment horizontal="left" vertical="center"/>
    </xf>
    <xf numFmtId="0" fontId="13" fillId="0" borderId="0" xfId="0" applyFont="1"/>
    <xf numFmtId="0" fontId="14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6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horizontal="left" vertical="center"/>
      <protection locked="0"/>
    </xf>
    <xf numFmtId="165" fontId="15" fillId="0" borderId="2" xfId="0" applyNumberFormat="1" applyFont="1" applyBorder="1" applyAlignment="1">
      <alignment horizontal="right" vertical="center" wrapText="1"/>
    </xf>
    <xf numFmtId="166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167" fontId="2" fillId="5" borderId="2" xfId="0" applyNumberFormat="1" applyFont="1" applyFill="1" applyBorder="1" applyAlignment="1">
      <alignment horizontal="center" vertical="center" wrapText="1"/>
    </xf>
    <xf numFmtId="165" fontId="2" fillId="5" borderId="2" xfId="0" applyNumberFormat="1" applyFont="1" applyFill="1" applyBorder="1" applyAlignment="1">
      <alignment horizontal="center" vertical="center" wrapText="1"/>
    </xf>
    <xf numFmtId="166" fontId="15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166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1" fillId="6" borderId="0" xfId="0" applyFont="1" applyFill="1" applyAlignment="1">
      <alignment horizontal="center"/>
    </xf>
    <xf numFmtId="0" fontId="22" fillId="6" borderId="0" xfId="0" applyFon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69" fontId="0" fillId="0" borderId="4" xfId="0" applyNumberFormat="1" applyBorder="1" applyAlignment="1">
      <alignment horizontal="center"/>
    </xf>
    <xf numFmtId="169" fontId="0" fillId="0" borderId="4" xfId="0" quotePrefix="1" applyNumberFormat="1" applyBorder="1" applyAlignment="1">
      <alignment horizontal="center"/>
    </xf>
    <xf numFmtId="0" fontId="3" fillId="0" borderId="0" xfId="0" applyFont="1"/>
    <xf numFmtId="0" fontId="13" fillId="0" borderId="5" xfId="0" applyFont="1" applyBorder="1"/>
    <xf numFmtId="0" fontId="16" fillId="2" borderId="7" xfId="0" applyFont="1" applyFill="1" applyBorder="1" applyAlignment="1">
      <alignment horizontal="center" vertical="center"/>
    </xf>
    <xf numFmtId="0" fontId="13" fillId="0" borderId="8" xfId="0" applyFont="1" applyBorder="1"/>
    <xf numFmtId="0" fontId="12" fillId="3" borderId="5" xfId="0" applyFont="1" applyFill="1" applyBorder="1" applyAlignment="1" applyProtection="1">
      <alignment horizontal="center" vertical="center"/>
      <protection locked="0"/>
    </xf>
    <xf numFmtId="0" fontId="12" fillId="3" borderId="10" xfId="0" applyFont="1" applyFill="1" applyBorder="1" applyAlignment="1" applyProtection="1">
      <alignment horizontal="center" vertical="center"/>
      <protection locked="0"/>
    </xf>
    <xf numFmtId="170" fontId="14" fillId="4" borderId="6" xfId="0" applyNumberFormat="1" applyFont="1" applyFill="1" applyBorder="1" applyAlignment="1" applyProtection="1">
      <alignment horizontal="center" vertical="center"/>
      <protection locked="0"/>
    </xf>
    <xf numFmtId="0" fontId="12" fillId="3" borderId="6" xfId="0" applyFont="1" applyFill="1" applyBorder="1" applyAlignment="1">
      <alignment horizontal="center" vertical="center"/>
    </xf>
    <xf numFmtId="14" fontId="14" fillId="4" borderId="12" xfId="0" applyNumberFormat="1" applyFont="1" applyFill="1" applyBorder="1" applyAlignment="1" applyProtection="1">
      <alignment horizontal="center" vertical="center"/>
      <protection locked="0"/>
    </xf>
    <xf numFmtId="0" fontId="12" fillId="3" borderId="1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1" fontId="14" fillId="4" borderId="13" xfId="0" applyNumberFormat="1" applyFont="1" applyFill="1" applyBorder="1" applyAlignment="1" applyProtection="1">
      <alignment horizontal="center" vertical="center"/>
      <protection locked="0"/>
    </xf>
    <xf numFmtId="172" fontId="13" fillId="0" borderId="0" xfId="0" applyNumberFormat="1" applyFont="1" applyAlignment="1">
      <alignment horizontal="left"/>
    </xf>
    <xf numFmtId="0" fontId="22" fillId="7" borderId="0" xfId="0" applyFont="1" applyFill="1" applyAlignment="1">
      <alignment horizontal="center" wrapText="1"/>
    </xf>
    <xf numFmtId="164" fontId="0" fillId="8" borderId="0" xfId="1" applyFont="1" applyFill="1"/>
    <xf numFmtId="164" fontId="0" fillId="9" borderId="0" xfId="1" applyFont="1" applyFill="1"/>
    <xf numFmtId="165" fontId="8" fillId="4" borderId="2" xfId="0" applyNumberFormat="1" applyFont="1" applyFill="1" applyBorder="1" applyAlignment="1">
      <alignment horizontal="right" vertical="center" wrapText="1"/>
    </xf>
    <xf numFmtId="165" fontId="8" fillId="0" borderId="2" xfId="0" applyNumberFormat="1" applyFont="1" applyBorder="1" applyAlignment="1">
      <alignment horizontal="right" vertical="center" wrapText="1"/>
    </xf>
    <xf numFmtId="13" fontId="0" fillId="9" borderId="0" xfId="1" quotePrefix="1" applyNumberFormat="1" applyFont="1" applyFill="1" applyAlignment="1">
      <alignment horizontal="center" wrapText="1"/>
    </xf>
    <xf numFmtId="0" fontId="0" fillId="0" borderId="0" xfId="0" applyAlignment="1">
      <alignment horizontal="center" wrapText="1"/>
    </xf>
    <xf numFmtId="49" fontId="0" fillId="9" borderId="0" xfId="1" quotePrefix="1" applyNumberFormat="1" applyFont="1" applyFill="1" applyAlignment="1">
      <alignment horizontal="center" wrapText="1"/>
    </xf>
    <xf numFmtId="49" fontId="0" fillId="9" borderId="0" xfId="1" applyNumberFormat="1" applyFont="1" applyFill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22" fillId="7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0" fillId="10" borderId="0" xfId="0" applyFill="1"/>
    <xf numFmtId="0" fontId="5" fillId="10" borderId="0" xfId="0" applyFont="1" applyFill="1" applyAlignment="1">
      <alignment vertical="center" wrapText="1"/>
    </xf>
    <xf numFmtId="0" fontId="10" fillId="10" borderId="0" xfId="0" applyFont="1" applyFill="1" applyAlignment="1">
      <alignment horizontal="right" vertical="center" wrapText="1"/>
    </xf>
    <xf numFmtId="0" fontId="6" fillId="10" borderId="0" xfId="0" applyFont="1" applyFill="1" applyAlignment="1">
      <alignment wrapText="1"/>
    </xf>
    <xf numFmtId="0" fontId="9" fillId="10" borderId="0" xfId="0" applyFont="1" applyFill="1" applyAlignment="1">
      <alignment horizontal="right" vertical="center" wrapText="1"/>
    </xf>
    <xf numFmtId="0" fontId="11" fillId="10" borderId="0" xfId="0" applyFont="1" applyFill="1" applyAlignment="1">
      <alignment vertical="center" wrapText="1"/>
    </xf>
    <xf numFmtId="0" fontId="8" fillId="10" borderId="0" xfId="0" applyFont="1" applyFill="1" applyAlignment="1">
      <alignment vertical="center" wrapText="1"/>
    </xf>
    <xf numFmtId="0" fontId="17" fillId="10" borderId="0" xfId="0" applyFont="1" applyFill="1" applyAlignment="1">
      <alignment vertical="center" wrapText="1"/>
    </xf>
    <xf numFmtId="0" fontId="18" fillId="10" borderId="0" xfId="0" applyFont="1" applyFill="1" applyAlignment="1">
      <alignment wrapText="1"/>
    </xf>
    <xf numFmtId="0" fontId="15" fillId="0" borderId="0" xfId="0" applyFont="1" applyAlignment="1">
      <alignment vertical="center"/>
    </xf>
    <xf numFmtId="173" fontId="15" fillId="0" borderId="0" xfId="0" applyNumberFormat="1" applyFont="1" applyAlignment="1">
      <alignment vertical="center"/>
    </xf>
    <xf numFmtId="174" fontId="15" fillId="0" borderId="0" xfId="0" applyNumberFormat="1" applyFont="1" applyAlignment="1">
      <alignment vertical="center"/>
    </xf>
    <xf numFmtId="166" fontId="8" fillId="0" borderId="2" xfId="0" applyNumberFormat="1" applyFont="1" applyBorder="1" applyAlignment="1">
      <alignment horizontal="left" vertical="center" wrapText="1"/>
    </xf>
    <xf numFmtId="0" fontId="0" fillId="0" borderId="2" xfId="0" applyBorder="1"/>
    <xf numFmtId="14" fontId="14" fillId="4" borderId="10" xfId="0" applyNumberFormat="1" applyFont="1" applyFill="1" applyBorder="1" applyAlignment="1">
      <alignment horizontal="center" vertical="center"/>
    </xf>
    <xf numFmtId="0" fontId="0" fillId="0" borderId="9" xfId="0" applyBorder="1"/>
    <xf numFmtId="0" fontId="19" fillId="0" borderId="0" xfId="0" applyFont="1" applyAlignment="1">
      <alignment horizontal="center"/>
    </xf>
    <xf numFmtId="0" fontId="0" fillId="0" borderId="0" xfId="0"/>
    <xf numFmtId="0" fontId="8" fillId="0" borderId="2" xfId="0" applyFont="1" applyBorder="1" applyAlignment="1">
      <alignment horizontal="center" vertical="center" wrapText="1"/>
    </xf>
    <xf numFmtId="0" fontId="0" fillId="0" borderId="3" xfId="0" applyBorder="1"/>
    <xf numFmtId="0" fontId="2" fillId="5" borderId="2" xfId="0" applyFont="1" applyFill="1" applyBorder="1" applyAlignment="1">
      <alignment horizontal="center" vertical="center" wrapText="1"/>
    </xf>
    <xf numFmtId="0" fontId="5" fillId="0" borderId="0" xfId="0" applyFont="1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0" fontId="20" fillId="0" borderId="0" xfId="0" applyFont="1" applyAlignment="1">
      <alignment horizontal="center"/>
    </xf>
    <xf numFmtId="0" fontId="7" fillId="0" borderId="0" xfId="0" applyFont="1" applyAlignment="1" applyProtection="1">
      <alignment horizontal="center"/>
      <protection locked="0"/>
    </xf>
  </cellXfs>
  <cellStyles count="3">
    <cellStyle name="Comma" xfId="1" builtinId="3"/>
    <cellStyle name="Comm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7"/>
  <sheetViews>
    <sheetView view="pageBreakPreview" topLeftCell="A28" zoomScale="115" zoomScaleNormal="115" zoomScaleSheetLayoutView="115" workbookViewId="0">
      <selection activeCell="C40" sqref="C40"/>
    </sheetView>
  </sheetViews>
  <sheetFormatPr defaultColWidth="21.6640625" defaultRowHeight="14.4" x14ac:dyDescent="0.3"/>
  <cols>
    <col min="2" max="2" width="10.44140625" style="54" customWidth="1"/>
    <col min="3" max="16384" width="21.6640625" style="54"/>
  </cols>
  <sheetData>
    <row r="1" spans="1:7" ht="30" customHeight="1" x14ac:dyDescent="0.3">
      <c r="A1" s="1" t="s">
        <v>0</v>
      </c>
      <c r="B1"/>
      <c r="C1"/>
      <c r="D1"/>
      <c r="E1" s="53" t="s">
        <v>1</v>
      </c>
    </row>
    <row r="2" spans="1:7" x14ac:dyDescent="0.3">
      <c r="A2" s="2" t="s">
        <v>2</v>
      </c>
      <c r="B2"/>
      <c r="C2"/>
      <c r="D2"/>
      <c r="E2"/>
    </row>
    <row r="3" spans="1:7" x14ac:dyDescent="0.3">
      <c r="A3" s="2" t="s">
        <v>3</v>
      </c>
      <c r="B3"/>
      <c r="C3"/>
      <c r="D3"/>
      <c r="E3"/>
    </row>
    <row r="4" spans="1:7" x14ac:dyDescent="0.3">
      <c r="B4"/>
      <c r="C4"/>
      <c r="D4"/>
      <c r="E4"/>
    </row>
    <row r="5" spans="1:7" ht="15.75" customHeight="1" thickBot="1" x14ac:dyDescent="0.35">
      <c r="A5" s="4" t="s">
        <v>4</v>
      </c>
      <c r="B5" s="5"/>
      <c r="C5" s="39" t="s">
        <v>5</v>
      </c>
      <c r="D5" s="38" t="s">
        <v>6</v>
      </c>
      <c r="E5" s="36" t="s">
        <v>7</v>
      </c>
    </row>
    <row r="6" spans="1:7" ht="16.5" customHeight="1" thickTop="1" thickBot="1" x14ac:dyDescent="0.35">
      <c r="A6" s="6" t="s">
        <v>92</v>
      </c>
      <c r="B6" s="5"/>
      <c r="C6" s="40">
        <f>DATE(YEAR(E6), MONTH(E6), 25)</f>
        <v>46259</v>
      </c>
      <c r="D6" s="37" t="s">
        <v>9</v>
      </c>
      <c r="E6" s="35">
        <v>46235</v>
      </c>
    </row>
    <row r="7" spans="1:7" ht="15.75" customHeight="1" thickBot="1" x14ac:dyDescent="0.35">
      <c r="A7" s="41" t="str">
        <f>IFERROR(INDEX('Employee Master'!$J:$J,MATCH($A$6,'Employee Master'!$A:$A,0)),"")</f>
        <v>47/7/A</v>
      </c>
      <c r="B7" s="5"/>
      <c r="C7" s="8" t="s">
        <v>10</v>
      </c>
      <c r="D7" s="31" t="s">
        <v>11</v>
      </c>
      <c r="E7" s="32"/>
    </row>
    <row r="8" spans="1:7" ht="16.5" customHeight="1" thickTop="1" thickBot="1" x14ac:dyDescent="0.35">
      <c r="A8" s="64" t="str">
        <f>IFERROR(INDEX('Employee Master'!$K:$K,MATCH($A$6,'Employee Master'!$A:$A,0)),"")</f>
        <v>Richard Pamunuwa MW</v>
      </c>
      <c r="B8" s="5"/>
      <c r="C8" s="34" t="s">
        <v>12</v>
      </c>
      <c r="D8" s="68" t="str">
        <f>IFERROR(INDEX('Employee Master'!$C:$C,MATCH($A$6,'Employee Master'!$A:$A,0)),"")</f>
        <v>Assistant Accountant</v>
      </c>
      <c r="E8" s="69"/>
    </row>
    <row r="9" spans="1:7" ht="16.5" customHeight="1" thickTop="1" thickBot="1" x14ac:dyDescent="0.35">
      <c r="A9" s="63" t="str">
        <f>IFERROR(INDEX('Employee Master'!$L:$L, MATCH($A$6, 'Employee Master'!$A:$A, 0)) &amp; ".", "")</f>
        <v>Matale.</v>
      </c>
      <c r="B9" s="30"/>
      <c r="C9" s="33" t="s">
        <v>13</v>
      </c>
      <c r="D9" s="68" t="str">
        <f>IFERROR(INDEX('Employee Master'!$D:$D,MATCH($A$6,'Employee Master'!$A:$A,0)),"")</f>
        <v xml:space="preserve">Finance &amp; Accounts </v>
      </c>
      <c r="E9" s="69"/>
    </row>
    <row r="10" spans="1:7" ht="15.75" customHeight="1" thickTop="1" x14ac:dyDescent="0.3">
      <c r="A10" s="65" t="str">
        <f>IFERROR(INDEX('Employee Master'!$N:$N,MATCH($A$6,'Employee Master'!$A:$A,0)),"")</f>
        <v>076-7597550</v>
      </c>
      <c r="B10" s="5"/>
      <c r="C10" s="9"/>
      <c r="D10" s="5"/>
      <c r="E10" s="5"/>
    </row>
    <row r="11" spans="1:7" x14ac:dyDescent="0.3">
      <c r="A11" s="7"/>
      <c r="B11" s="5"/>
      <c r="C11" s="10" t="s">
        <v>14</v>
      </c>
      <c r="D11" s="11" t="s">
        <v>15</v>
      </c>
      <c r="E11" s="5"/>
    </row>
    <row r="12" spans="1:7" x14ac:dyDescent="0.3">
      <c r="A12" s="5"/>
      <c r="B12" s="5"/>
      <c r="C12" s="5"/>
      <c r="D12" s="5"/>
      <c r="E12" s="5"/>
    </row>
    <row r="13" spans="1:7" s="57" customFormat="1" ht="21" customHeight="1" x14ac:dyDescent="0.3">
      <c r="A13" s="13" t="s">
        <v>16</v>
      </c>
      <c r="B13" s="14"/>
      <c r="C13" s="14"/>
      <c r="D13" s="16"/>
      <c r="E13" s="16" t="s">
        <v>17</v>
      </c>
      <c r="F13" s="55"/>
      <c r="G13" s="56"/>
    </row>
    <row r="14" spans="1:7" s="57" customFormat="1" ht="21" customHeight="1" x14ac:dyDescent="0.3">
      <c r="A14" s="66" t="s">
        <v>18</v>
      </c>
      <c r="B14" s="67"/>
      <c r="C14" s="67"/>
      <c r="D14" s="46"/>
      <c r="E14" s="45">
        <f>IFERROR(SUMIFS('Salary Data'!$E:$E,'Salary Data'!$A:$A,$E$6,'Salary Data'!$B:$B,$A$6),0)</f>
        <v>51500</v>
      </c>
      <c r="F14" s="55"/>
      <c r="G14" s="58"/>
    </row>
    <row r="15" spans="1:7" s="57" customFormat="1" ht="21" customHeight="1" x14ac:dyDescent="0.3">
      <c r="A15" s="66" t="s">
        <v>19</v>
      </c>
      <c r="B15" s="67"/>
      <c r="C15" s="67"/>
      <c r="D15" s="46"/>
      <c r="E15" s="45">
        <f>IFERROR(SUMIFS('Salary Data'!$F:$F,'Salary Data'!$A:$A,$E$6,'Salary Data'!$B:$B,$A$6),0)</f>
        <v>3500</v>
      </c>
      <c r="F15" s="55"/>
      <c r="G15" s="56"/>
    </row>
    <row r="16" spans="1:7" s="57" customFormat="1" ht="21" customHeight="1" x14ac:dyDescent="0.3">
      <c r="A16" s="66" t="s">
        <v>20</v>
      </c>
      <c r="B16" s="67"/>
      <c r="C16" s="67"/>
      <c r="D16" s="46"/>
      <c r="E16" s="45">
        <f>IFERROR(SUMIFS('Salary Data'!$G:$G,'Salary Data'!$A:$A,$E$6,'Salary Data'!$B:$B,$A$6),0)</f>
        <v>21000</v>
      </c>
      <c r="F16" s="55"/>
      <c r="G16" s="56"/>
    </row>
    <row r="17" spans="1:7" s="57" customFormat="1" ht="21" customHeight="1" x14ac:dyDescent="0.3">
      <c r="A17" s="66" t="s">
        <v>21</v>
      </c>
      <c r="B17" s="67"/>
      <c r="C17" s="67"/>
      <c r="D17" s="46"/>
      <c r="E17" s="45">
        <f>IFERROR(SUMIFS('Salary Data'!$H:$H,'Salary Data'!$A:$A,$E$6,'Salary Data'!$B:$B,$A$6),0)</f>
        <v>0</v>
      </c>
      <c r="F17" s="55"/>
      <c r="G17" s="56"/>
    </row>
    <row r="18" spans="1:7" s="57" customFormat="1" ht="21" customHeight="1" x14ac:dyDescent="0.3">
      <c r="A18" s="66" t="s">
        <v>22</v>
      </c>
      <c r="B18" s="67"/>
      <c r="C18" s="67"/>
      <c r="D18" s="46"/>
      <c r="E18" s="45">
        <f>IFERROR(SUMIFS('Salary Data'!$I:$I,'Salary Data'!$A:$A,$E$6,'Salary Data'!$B:$B,$A$6),0)</f>
        <v>10000</v>
      </c>
      <c r="F18" s="55"/>
      <c r="G18" s="59"/>
    </row>
    <row r="19" spans="1:7" s="57" customFormat="1" ht="21" customHeight="1" x14ac:dyDescent="0.3">
      <c r="A19" s="66" t="s">
        <v>23</v>
      </c>
      <c r="B19" s="67"/>
      <c r="C19" s="67"/>
      <c r="D19" s="46"/>
      <c r="E19" s="45">
        <f>IFERROR(SUMIFS('Salary Data'!$J:$J,'Salary Data'!$A:$A,$E$6,'Salary Data'!$B:$B,$A$6),0)</f>
        <v>0</v>
      </c>
      <c r="F19" s="55"/>
      <c r="G19" s="59"/>
    </row>
    <row r="20" spans="1:7" s="57" customFormat="1" ht="21" customHeight="1" x14ac:dyDescent="0.3">
      <c r="A20" s="66" t="s">
        <v>24</v>
      </c>
      <c r="B20" s="67"/>
      <c r="C20" s="67"/>
      <c r="D20" s="46"/>
      <c r="E20" s="45">
        <f>IFERROR(SUMIFS('Salary Data'!$K:$K,'Salary Data'!$A:$A,$E$6,'Salary Data'!$B:$B,$A$6),0)</f>
        <v>1000</v>
      </c>
      <c r="F20" s="55"/>
      <c r="G20" s="58"/>
    </row>
    <row r="21" spans="1:7" s="57" customFormat="1" ht="21" customHeight="1" x14ac:dyDescent="0.3">
      <c r="A21" s="66" t="s">
        <v>25</v>
      </c>
      <c r="B21" s="67"/>
      <c r="C21" s="67"/>
      <c r="D21" s="46"/>
      <c r="E21" s="45">
        <f>IFERROR(SUMIFS('Salary Data'!$L:$L,'Salary Data'!$A:$A,$E$6,'Salary Data'!$B:$B,$A$6),0)</f>
        <v>3000</v>
      </c>
      <c r="F21" s="55"/>
      <c r="G21" s="56"/>
    </row>
    <row r="22" spans="1:7" s="57" customFormat="1" ht="21" customHeight="1" x14ac:dyDescent="0.3">
      <c r="A22" s="13"/>
      <c r="B22" s="14"/>
      <c r="C22" s="74" t="s">
        <v>26</v>
      </c>
      <c r="D22" s="67"/>
      <c r="E22" s="15">
        <f>SUM(E14:E21)</f>
        <v>90000</v>
      </c>
      <c r="F22" s="55"/>
      <c r="G22" s="59"/>
    </row>
    <row r="23" spans="1:7" x14ac:dyDescent="0.3">
      <c r="A23" s="5"/>
      <c r="B23" s="5"/>
      <c r="C23" s="5"/>
      <c r="D23" s="5"/>
      <c r="E23" s="5"/>
    </row>
    <row r="24" spans="1:7" s="57" customFormat="1" ht="21" customHeight="1" x14ac:dyDescent="0.3">
      <c r="A24" s="13" t="s">
        <v>27</v>
      </c>
      <c r="B24" s="14"/>
      <c r="C24" s="14"/>
      <c r="D24" s="16"/>
      <c r="E24" s="16" t="s">
        <v>17</v>
      </c>
      <c r="F24" s="55"/>
      <c r="G24" s="56"/>
    </row>
    <row r="25" spans="1:7" s="57" customFormat="1" ht="21" customHeight="1" x14ac:dyDescent="0.3">
      <c r="A25" s="66" t="s">
        <v>28</v>
      </c>
      <c r="B25" s="67"/>
      <c r="C25" s="67"/>
      <c r="D25" s="12"/>
      <c r="E25" s="45">
        <f>IFERROR(SUMIFS('Salary Data'!$N:$N,'Salary Data'!$A:$A,$E$6,'Salary Data'!$B:$B,$A$6),0)</f>
        <v>4400</v>
      </c>
      <c r="F25" s="55"/>
      <c r="G25" s="58"/>
    </row>
    <row r="26" spans="1:7" s="57" customFormat="1" ht="21" customHeight="1" x14ac:dyDescent="0.3">
      <c r="A26" s="66" t="s">
        <v>29</v>
      </c>
      <c r="B26" s="67"/>
      <c r="C26" s="67"/>
      <c r="D26" s="12"/>
      <c r="E26" s="45">
        <f>IFERROR(SUMIFS('Salary Data'!$O:$O,'Salary Data'!$A:$A,$E$6,'Salary Data'!$B:$B,$A$6),0)</f>
        <v>0</v>
      </c>
      <c r="F26" s="55"/>
      <c r="G26" s="58"/>
    </row>
    <row r="27" spans="1:7" s="57" customFormat="1" ht="21" customHeight="1" x14ac:dyDescent="0.3">
      <c r="A27" s="66" t="s">
        <v>30</v>
      </c>
      <c r="B27" s="67"/>
      <c r="C27" s="67"/>
      <c r="D27" s="12"/>
      <c r="E27" s="45">
        <f>IFERROR(SUMIFS('Salary Data'!$P:$P,'Salary Data'!$A:$A,$E$6,'Salary Data'!$B:$B,$A$6),0)</f>
        <v>0</v>
      </c>
      <c r="F27" s="55"/>
      <c r="G27" s="58"/>
    </row>
    <row r="28" spans="1:7" s="57" customFormat="1" ht="21" customHeight="1" x14ac:dyDescent="0.3">
      <c r="A28" s="66" t="s">
        <v>31</v>
      </c>
      <c r="B28" s="67"/>
      <c r="C28" s="67"/>
      <c r="D28" s="46" t="str">
        <f>IFERROR(INDEX('Salary Data'!$Z:$Z,MATCH($E$6&amp;$A$6,'Salary Data'!$AA:$AA,0)),"")</f>
        <v>6/10</v>
      </c>
      <c r="E28" s="45">
        <f>IFERROR(SUMIFS('Salary Data'!$Q:$Q,'Salary Data'!$A:$A,$E$6,'Salary Data'!$B:$B,$A$6),0)</f>
        <v>10000</v>
      </c>
      <c r="F28" s="55"/>
      <c r="G28" s="56"/>
    </row>
    <row r="29" spans="1:7" s="57" customFormat="1" ht="21" customHeight="1" x14ac:dyDescent="0.3">
      <c r="A29" s="66" t="s">
        <v>32</v>
      </c>
      <c r="B29" s="67"/>
      <c r="C29" s="67"/>
      <c r="D29" s="12"/>
      <c r="E29" s="45">
        <f>IFERROR(SUMIFS('Salary Data'!$R:$R,'Salary Data'!$A:$A,$E$6,'Salary Data'!$B:$B,$A$6),0)</f>
        <v>1500</v>
      </c>
      <c r="F29" s="55"/>
      <c r="G29" s="56"/>
    </row>
    <row r="30" spans="1:7" s="57" customFormat="1" ht="21" customHeight="1" x14ac:dyDescent="0.3">
      <c r="A30" s="66" t="s">
        <v>33</v>
      </c>
      <c r="B30" s="67"/>
      <c r="C30" s="67"/>
      <c r="D30" s="12"/>
      <c r="E30" s="45">
        <f>IFERROR(SUMIFS('Salary Data'!$S:$S,'Salary Data'!$A:$A,$E$6,'Salary Data'!$B:$B,$A$6),0)</f>
        <v>0</v>
      </c>
      <c r="F30" s="55"/>
      <c r="G30" s="56"/>
    </row>
    <row r="31" spans="1:7" s="57" customFormat="1" ht="21" customHeight="1" x14ac:dyDescent="0.3">
      <c r="A31" s="66" t="s">
        <v>34</v>
      </c>
      <c r="B31" s="67"/>
      <c r="C31" s="67"/>
      <c r="D31" s="12"/>
      <c r="E31" s="45">
        <f>IFERROR(SUMIFS('Salary Data'!$T:$T,'Salary Data'!$A:$A,$E$6,'Salary Data'!$B:$B,$A$6),0)</f>
        <v>3000</v>
      </c>
      <c r="F31" s="55"/>
      <c r="G31" s="59"/>
    </row>
    <row r="32" spans="1:7" s="57" customFormat="1" ht="21" customHeight="1" x14ac:dyDescent="0.3">
      <c r="A32" s="66" t="s">
        <v>35</v>
      </c>
      <c r="B32" s="67"/>
      <c r="C32" s="67"/>
      <c r="D32" s="12"/>
      <c r="E32" s="45">
        <f>IFERROR(SUMIFS('Salary Data'!$U:$U,'Salary Data'!$A:$A,$E$6,'Salary Data'!$B:$B,$A$6),0)</f>
        <v>0</v>
      </c>
      <c r="F32" s="55"/>
      <c r="G32" s="59"/>
    </row>
    <row r="33" spans="1:7" s="62" customFormat="1" ht="21" customHeight="1" x14ac:dyDescent="0.3">
      <c r="A33" s="13"/>
      <c r="B33" s="14"/>
      <c r="C33" s="74" t="s">
        <v>36</v>
      </c>
      <c r="D33" s="67"/>
      <c r="E33" s="15">
        <f>SUM(E25:E32)</f>
        <v>18900</v>
      </c>
      <c r="F33" s="60"/>
      <c r="G33" s="61"/>
    </row>
    <row r="34" spans="1:7" x14ac:dyDescent="0.3">
      <c r="B34"/>
      <c r="C34"/>
      <c r="D34"/>
      <c r="E34"/>
    </row>
    <row r="35" spans="1:7" s="57" customFormat="1" ht="21" customHeight="1" x14ac:dyDescent="0.3">
      <c r="A35" s="19"/>
      <c r="B35" s="20"/>
      <c r="C35" s="74" t="s">
        <v>37</v>
      </c>
      <c r="D35" s="67"/>
      <c r="E35" s="15">
        <f>E22-E33</f>
        <v>71100</v>
      </c>
      <c r="F35" s="55"/>
      <c r="G35" s="59"/>
    </row>
    <row r="36" spans="1:7" x14ac:dyDescent="0.3">
      <c r="B36"/>
      <c r="C36"/>
      <c r="D36"/>
      <c r="E36"/>
    </row>
    <row r="37" spans="1:7" s="57" customFormat="1" ht="21" customHeight="1" x14ac:dyDescent="0.3">
      <c r="A37" s="17"/>
      <c r="B37" s="18"/>
      <c r="C37" s="72" t="s">
        <v>38</v>
      </c>
      <c r="D37" s="46" t="s">
        <v>39</v>
      </c>
      <c r="E37" s="45">
        <f>IFERROR(SUMIFS('Salary Data'!$X:$X,'Salary Data'!$A:$A,$E$6,'Salary Data'!$B:$B,$A$6),0)</f>
        <v>6600</v>
      </c>
      <c r="F37" s="55"/>
      <c r="G37" s="56"/>
    </row>
    <row r="38" spans="1:7" s="57" customFormat="1" ht="21" customHeight="1" x14ac:dyDescent="0.3">
      <c r="A38" s="17"/>
      <c r="B38" s="18"/>
      <c r="C38" s="73"/>
      <c r="D38" s="46" t="s">
        <v>40</v>
      </c>
      <c r="E38" s="45">
        <f>IFERROR(SUMIFS('Salary Data'!$Y:$Y,'Salary Data'!$A:$A,$E$6,'Salary Data'!$B:$B,$A$6),0)</f>
        <v>1650</v>
      </c>
      <c r="F38" s="55"/>
      <c r="G38" s="56"/>
    </row>
    <row r="39" spans="1:7" x14ac:dyDescent="0.3">
      <c r="B39"/>
      <c r="C39"/>
      <c r="D39"/>
      <c r="E39"/>
    </row>
    <row r="40" spans="1:7" x14ac:dyDescent="0.3">
      <c r="B40"/>
      <c r="C40"/>
      <c r="D40"/>
      <c r="E40"/>
    </row>
    <row r="41" spans="1:7" x14ac:dyDescent="0.3">
      <c r="B41"/>
      <c r="C41"/>
      <c r="D41"/>
      <c r="E41"/>
    </row>
    <row r="42" spans="1:7" x14ac:dyDescent="0.3">
      <c r="B42"/>
      <c r="C42"/>
      <c r="D42"/>
      <c r="E42"/>
    </row>
    <row r="43" spans="1:7" x14ac:dyDescent="0.3">
      <c r="A43" s="70" t="s">
        <v>41</v>
      </c>
      <c r="B43" s="71"/>
      <c r="C43"/>
      <c r="D43" s="70" t="s">
        <v>41</v>
      </c>
      <c r="E43" s="71"/>
    </row>
    <row r="44" spans="1:7" x14ac:dyDescent="0.3">
      <c r="A44" s="77" t="s">
        <v>42</v>
      </c>
      <c r="B44" s="71"/>
      <c r="C44"/>
      <c r="D44" s="77" t="s">
        <v>43</v>
      </c>
      <c r="E44" s="71"/>
    </row>
    <row r="45" spans="1:7" x14ac:dyDescent="0.3">
      <c r="B45"/>
      <c r="C45"/>
      <c r="D45"/>
      <c r="E45"/>
    </row>
    <row r="46" spans="1:7" x14ac:dyDescent="0.3">
      <c r="A46" s="78" t="s">
        <v>44</v>
      </c>
      <c r="B46" s="76"/>
      <c r="C46" s="76"/>
      <c r="D46" s="76"/>
      <c r="E46" s="76"/>
    </row>
    <row r="47" spans="1:7" x14ac:dyDescent="0.3">
      <c r="A47" s="75" t="s">
        <v>45</v>
      </c>
      <c r="B47" s="76"/>
      <c r="C47" s="76"/>
      <c r="D47" s="76"/>
      <c r="E47" s="76"/>
    </row>
  </sheetData>
  <mergeCells count="28">
    <mergeCell ref="A19:C19"/>
    <mergeCell ref="A27:C27"/>
    <mergeCell ref="A21:C21"/>
    <mergeCell ref="A26:C26"/>
    <mergeCell ref="A29:C29"/>
    <mergeCell ref="A20:C20"/>
    <mergeCell ref="A28:C28"/>
    <mergeCell ref="A47:E47"/>
    <mergeCell ref="A30:C30"/>
    <mergeCell ref="A44:B44"/>
    <mergeCell ref="D44:E44"/>
    <mergeCell ref="A46:E46"/>
    <mergeCell ref="A15:C15"/>
    <mergeCell ref="D9:E9"/>
    <mergeCell ref="D8:E8"/>
    <mergeCell ref="A43:B43"/>
    <mergeCell ref="C37:C38"/>
    <mergeCell ref="A16:C16"/>
    <mergeCell ref="C35:D35"/>
    <mergeCell ref="A32:C32"/>
    <mergeCell ref="A14:C14"/>
    <mergeCell ref="A17:C17"/>
    <mergeCell ref="C22:D22"/>
    <mergeCell ref="D43:E43"/>
    <mergeCell ref="A31:C31"/>
    <mergeCell ref="A25:C25"/>
    <mergeCell ref="C33:D33"/>
    <mergeCell ref="A18:C18"/>
  </mergeCells>
  <dataValidations count="3">
    <dataValidation type="list" allowBlank="1" sqref="D6" xr:uid="{00000000-0002-0000-0000-000000000000}">
      <formula1>"Weekly,Bi-Weekly,Monthly"</formula1>
    </dataValidation>
    <dataValidation type="list" allowBlank="1" sqref="D11" xr:uid="{00000000-0002-0000-0000-000001000000}">
      <formula1>"Check, Cash, BACS, ACH, EFT"</formula1>
    </dataValidation>
    <dataValidation type="list" sqref="E6" xr:uid="{00000000-0002-0000-0000-000002000000}">
      <formula1>"April 2026,May 2026,June 2026,July 2026,August 2026,September 2026,October 2026,November 2026,December 2026,January 2027,February 2027,March 2027"</formula1>
    </dataValidation>
  </dataValidations>
  <pageMargins left="0.7" right="0.7" top="0.75" bottom="0.28999999999999998" header="0.3" footer="0.3"/>
  <pageSetup paperSize="9" scale="9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1EA48F-B7DF-419E-A147-1E0D7DE7DEF2}">
          <x14:formula1>
            <xm:f>'Employee Master'!$A$2:$A$16</xm:f>
          </x14:formula1>
          <xm:sqref>A6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topLeftCell="C1" zoomScale="85" zoomScaleNormal="85" workbookViewId="0">
      <pane ySplit="1" topLeftCell="A2" activePane="bottomLeft" state="frozen"/>
      <selection pane="bottomLeft" activeCell="L12" sqref="L12"/>
    </sheetView>
  </sheetViews>
  <sheetFormatPr defaultRowHeight="14.4" x14ac:dyDescent="0.3"/>
  <cols>
    <col min="1" max="1" width="30" customWidth="1"/>
    <col min="2" max="2" width="12" style="3" customWidth="1"/>
    <col min="3" max="3" width="25" customWidth="1"/>
    <col min="4" max="4" width="16" customWidth="1"/>
    <col min="5" max="6" width="15" customWidth="1"/>
    <col min="7" max="8" width="18" customWidth="1"/>
    <col min="9" max="9" width="42" customWidth="1"/>
    <col min="10" max="10" width="15.5546875" bestFit="1" customWidth="1"/>
    <col min="11" max="11" width="23.109375" bestFit="1" customWidth="1"/>
    <col min="12" max="12" width="27.44140625" bestFit="1" customWidth="1"/>
    <col min="13" max="14" width="16" customWidth="1"/>
    <col min="15" max="15" width="12" customWidth="1"/>
  </cols>
  <sheetData>
    <row r="1" spans="1:15" x14ac:dyDescent="0.3">
      <c r="A1" s="21" t="s">
        <v>46</v>
      </c>
      <c r="B1" s="21" t="s">
        <v>47</v>
      </c>
      <c r="C1" s="21" t="s">
        <v>48</v>
      </c>
      <c r="D1" s="21" t="s">
        <v>13</v>
      </c>
      <c r="E1" s="21" t="s">
        <v>49</v>
      </c>
      <c r="F1" s="21" t="s">
        <v>50</v>
      </c>
      <c r="G1" s="21" t="s">
        <v>51</v>
      </c>
      <c r="H1" s="22" t="s">
        <v>52</v>
      </c>
      <c r="I1" s="21" t="s">
        <v>53</v>
      </c>
      <c r="J1" s="21" t="s">
        <v>54</v>
      </c>
      <c r="K1" s="21" t="s">
        <v>55</v>
      </c>
      <c r="L1" s="21" t="s">
        <v>56</v>
      </c>
      <c r="M1" s="21" t="s">
        <v>57</v>
      </c>
      <c r="N1" s="22" t="s">
        <v>58</v>
      </c>
      <c r="O1" s="21" t="s">
        <v>59</v>
      </c>
    </row>
    <row r="2" spans="1:15" x14ac:dyDescent="0.3">
      <c r="A2" s="23" t="s">
        <v>60</v>
      </c>
      <c r="B2" s="24">
        <v>5</v>
      </c>
      <c r="C2" s="23" t="s">
        <v>61</v>
      </c>
      <c r="D2" s="23" t="s">
        <v>62</v>
      </c>
      <c r="E2" s="25">
        <v>44197</v>
      </c>
      <c r="F2" s="25">
        <f t="shared" ref="F2:F16" si="0">EDATE(DATE(IF(LEN(G2)=10, 1900+VALUE(MID(G2,1,2)), VALUE(MID(G2,1,4))), 1, VALUE(IF(LEN(G2)=10, MID(G2,3,3), MID(G2,5,3))) - IF(VALUE(IF(LEN(G2)=10, MID(G2,3,3), MID(G2,5,3)))&gt;500, 500, 0)), 60*12)</f>
        <v>50174</v>
      </c>
      <c r="G2" s="26" t="s">
        <v>63</v>
      </c>
      <c r="H2" s="26">
        <f t="shared" ref="H2:H16" ca="1" si="1">DATEDIF(DATE(IF(LEN(G2)=10, 1900+VALUE(MID(G2,1,2)), VALUE(MID(G2,1,4))), 1, VALUE(IF(LEN(G2)=10, MID(G2,3,3), MID(G2,5,3))) - IF(VALUE(IF(LEN(G2)=10, MID(G2,3,3), MID(G2,5,3)))&gt;500, 500, 0)), TODAY(), "Y")</f>
        <v>49</v>
      </c>
      <c r="I2" s="23" t="s">
        <v>64</v>
      </c>
      <c r="J2" s="27" t="s">
        <v>65</v>
      </c>
      <c r="K2" s="24" t="s">
        <v>66</v>
      </c>
      <c r="L2" s="24" t="s">
        <v>67</v>
      </c>
      <c r="M2" s="23"/>
      <c r="N2" s="24" t="s">
        <v>213</v>
      </c>
      <c r="O2" s="23" t="s">
        <v>68</v>
      </c>
    </row>
    <row r="3" spans="1:15" x14ac:dyDescent="0.3">
      <c r="A3" s="23" t="s">
        <v>69</v>
      </c>
      <c r="B3" s="24">
        <v>10</v>
      </c>
      <c r="C3" s="23" t="s">
        <v>70</v>
      </c>
      <c r="D3" s="23" t="s">
        <v>71</v>
      </c>
      <c r="E3" s="25">
        <v>44927</v>
      </c>
      <c r="F3" s="25">
        <f t="shared" si="0"/>
        <v>58138</v>
      </c>
      <c r="G3" s="26" t="s">
        <v>72</v>
      </c>
      <c r="H3" s="26">
        <f t="shared" ca="1" si="1"/>
        <v>27</v>
      </c>
      <c r="I3" s="23" t="s">
        <v>73</v>
      </c>
      <c r="J3" s="27" t="s">
        <v>74</v>
      </c>
      <c r="K3" s="24" t="s">
        <v>75</v>
      </c>
      <c r="L3" s="24" t="s">
        <v>76</v>
      </c>
      <c r="M3" s="23"/>
      <c r="N3" s="24" t="s">
        <v>214</v>
      </c>
      <c r="O3" s="23" t="s">
        <v>68</v>
      </c>
    </row>
    <row r="4" spans="1:15" x14ac:dyDescent="0.3">
      <c r="A4" s="23" t="s">
        <v>77</v>
      </c>
      <c r="B4" s="24">
        <v>16</v>
      </c>
      <c r="C4" s="23" t="s">
        <v>78</v>
      </c>
      <c r="D4" s="23" t="s">
        <v>79</v>
      </c>
      <c r="E4" s="25">
        <v>45524</v>
      </c>
      <c r="F4" s="25">
        <f t="shared" si="0"/>
        <v>55305</v>
      </c>
      <c r="G4" s="26" t="s">
        <v>80</v>
      </c>
      <c r="H4" s="26">
        <f t="shared" ca="1" si="1"/>
        <v>35</v>
      </c>
      <c r="I4" s="23" t="s">
        <v>81</v>
      </c>
      <c r="J4" s="27" t="s">
        <v>82</v>
      </c>
      <c r="K4" s="24" t="s">
        <v>83</v>
      </c>
      <c r="L4" s="24" t="s">
        <v>84</v>
      </c>
      <c r="M4" s="23"/>
      <c r="N4" s="24" t="s">
        <v>215</v>
      </c>
      <c r="O4" s="23" t="s">
        <v>68</v>
      </c>
    </row>
    <row r="5" spans="1:15" x14ac:dyDescent="0.3">
      <c r="A5" s="23" t="s">
        <v>85</v>
      </c>
      <c r="B5" s="24">
        <v>17</v>
      </c>
      <c r="C5" s="23" t="s">
        <v>86</v>
      </c>
      <c r="D5" s="23" t="s">
        <v>79</v>
      </c>
      <c r="E5" s="25">
        <v>45607</v>
      </c>
      <c r="F5" s="25">
        <f t="shared" si="0"/>
        <v>56635</v>
      </c>
      <c r="G5" s="26" t="s">
        <v>87</v>
      </c>
      <c r="H5" s="26">
        <f t="shared" ca="1" si="1"/>
        <v>31</v>
      </c>
      <c r="I5" s="23" t="s">
        <v>88</v>
      </c>
      <c r="J5" s="27" t="s">
        <v>89</v>
      </c>
      <c r="K5" s="24" t="s">
        <v>90</v>
      </c>
      <c r="L5" s="24" t="s">
        <v>91</v>
      </c>
      <c r="M5" s="23"/>
      <c r="N5" s="24" t="s">
        <v>216</v>
      </c>
      <c r="O5" s="23" t="s">
        <v>68</v>
      </c>
    </row>
    <row r="6" spans="1:15" x14ac:dyDescent="0.3">
      <c r="A6" s="23" t="s">
        <v>92</v>
      </c>
      <c r="B6" s="24">
        <v>18</v>
      </c>
      <c r="C6" s="23" t="s">
        <v>93</v>
      </c>
      <c r="D6" s="23" t="s">
        <v>71</v>
      </c>
      <c r="E6" s="25">
        <v>45628</v>
      </c>
      <c r="F6" s="25">
        <f t="shared" si="0"/>
        <v>58326</v>
      </c>
      <c r="G6" s="26" t="s">
        <v>94</v>
      </c>
      <c r="H6" s="26">
        <f t="shared" ca="1" si="1"/>
        <v>27</v>
      </c>
      <c r="I6" s="23" t="s">
        <v>95</v>
      </c>
      <c r="J6" s="27" t="s">
        <v>96</v>
      </c>
      <c r="K6" s="24" t="s">
        <v>97</v>
      </c>
      <c r="L6" s="24" t="s">
        <v>98</v>
      </c>
      <c r="M6" s="23"/>
      <c r="N6" s="24" t="s">
        <v>217</v>
      </c>
      <c r="O6" s="23" t="s">
        <v>68</v>
      </c>
    </row>
    <row r="7" spans="1:15" x14ac:dyDescent="0.3">
      <c r="A7" s="23" t="s">
        <v>99</v>
      </c>
      <c r="B7" s="24">
        <v>19</v>
      </c>
      <c r="C7" s="23" t="s">
        <v>86</v>
      </c>
      <c r="D7" s="23" t="s">
        <v>79</v>
      </c>
      <c r="E7" s="25">
        <v>45642</v>
      </c>
      <c r="F7" s="25">
        <f t="shared" si="0"/>
        <v>53780</v>
      </c>
      <c r="G7" s="26">
        <v>198708803218</v>
      </c>
      <c r="H7" s="26">
        <f t="shared" ca="1" si="1"/>
        <v>39</v>
      </c>
      <c r="I7" s="23" t="s">
        <v>100</v>
      </c>
      <c r="J7" s="28" t="s">
        <v>101</v>
      </c>
      <c r="K7" s="24" t="s">
        <v>102</v>
      </c>
      <c r="L7" s="24" t="s">
        <v>67</v>
      </c>
      <c r="M7" s="23"/>
      <c r="N7" s="24" t="s">
        <v>218</v>
      </c>
      <c r="O7" s="23" t="s">
        <v>68</v>
      </c>
    </row>
    <row r="8" spans="1:15" x14ac:dyDescent="0.3">
      <c r="A8" s="23" t="s">
        <v>103</v>
      </c>
      <c r="B8" s="24">
        <v>21</v>
      </c>
      <c r="C8" s="23" t="s">
        <v>104</v>
      </c>
      <c r="D8" s="23" t="s">
        <v>105</v>
      </c>
      <c r="E8" s="25">
        <v>45659</v>
      </c>
      <c r="F8" s="25">
        <f t="shared" si="0"/>
        <v>60015</v>
      </c>
      <c r="G8" s="26">
        <v>200461403626</v>
      </c>
      <c r="H8" s="26">
        <f t="shared" ca="1" si="1"/>
        <v>22</v>
      </c>
      <c r="I8" s="23" t="s">
        <v>106</v>
      </c>
      <c r="J8" s="27" t="s">
        <v>107</v>
      </c>
      <c r="K8" s="24" t="s">
        <v>108</v>
      </c>
      <c r="L8" s="24" t="s">
        <v>109</v>
      </c>
      <c r="M8" s="23"/>
      <c r="N8" s="24" t="s">
        <v>219</v>
      </c>
      <c r="O8" s="23" t="s">
        <v>68</v>
      </c>
    </row>
    <row r="9" spans="1:15" x14ac:dyDescent="0.3">
      <c r="A9" s="23" t="s">
        <v>110</v>
      </c>
      <c r="B9" s="24">
        <v>22</v>
      </c>
      <c r="C9" s="23" t="s">
        <v>111</v>
      </c>
      <c r="D9" s="23" t="s">
        <v>79</v>
      </c>
      <c r="E9" s="25">
        <v>45779</v>
      </c>
      <c r="F9" s="25">
        <f t="shared" si="0"/>
        <v>59970</v>
      </c>
      <c r="G9" s="26">
        <v>200406911756</v>
      </c>
      <c r="H9" s="26">
        <f t="shared" ca="1" si="1"/>
        <v>22</v>
      </c>
      <c r="I9" s="23" t="s">
        <v>112</v>
      </c>
      <c r="J9" s="27" t="s">
        <v>113</v>
      </c>
      <c r="K9" s="24" t="s">
        <v>114</v>
      </c>
      <c r="L9" s="24" t="s">
        <v>115</v>
      </c>
      <c r="M9" s="23"/>
      <c r="N9" s="24" t="s">
        <v>220</v>
      </c>
      <c r="O9" s="23" t="s">
        <v>68</v>
      </c>
    </row>
    <row r="10" spans="1:15" x14ac:dyDescent="0.3">
      <c r="A10" s="23" t="s">
        <v>116</v>
      </c>
      <c r="B10" s="24">
        <v>23</v>
      </c>
      <c r="C10" s="23" t="s">
        <v>111</v>
      </c>
      <c r="D10" s="23" t="s">
        <v>79</v>
      </c>
      <c r="E10" s="25">
        <v>45845</v>
      </c>
      <c r="F10" s="25">
        <f t="shared" si="0"/>
        <v>60221</v>
      </c>
      <c r="G10" s="26">
        <v>200432000572</v>
      </c>
      <c r="H10" s="26">
        <f t="shared" ca="1" si="1"/>
        <v>21</v>
      </c>
      <c r="I10" s="23" t="s">
        <v>117</v>
      </c>
      <c r="J10" s="27" t="s">
        <v>118</v>
      </c>
      <c r="K10" s="24" t="s">
        <v>119</v>
      </c>
      <c r="L10" s="24" t="s">
        <v>120</v>
      </c>
      <c r="M10" s="23"/>
      <c r="N10" s="24" t="s">
        <v>221</v>
      </c>
      <c r="O10" s="23" t="s">
        <v>68</v>
      </c>
    </row>
    <row r="11" spans="1:15" x14ac:dyDescent="0.3">
      <c r="A11" s="23" t="s">
        <v>121</v>
      </c>
      <c r="B11" s="24">
        <v>24</v>
      </c>
      <c r="C11" s="23" t="s">
        <v>86</v>
      </c>
      <c r="D11" s="23" t="s">
        <v>79</v>
      </c>
      <c r="E11" s="25">
        <v>45875</v>
      </c>
      <c r="F11" s="25">
        <f t="shared" si="0"/>
        <v>57620</v>
      </c>
      <c r="G11" s="26" t="s">
        <v>122</v>
      </c>
      <c r="H11" s="26">
        <f t="shared" ca="1" si="1"/>
        <v>29</v>
      </c>
      <c r="I11" s="23" t="s">
        <v>123</v>
      </c>
      <c r="J11" s="27" t="s">
        <v>124</v>
      </c>
      <c r="K11" s="24" t="s">
        <v>125</v>
      </c>
      <c r="L11" s="24" t="s">
        <v>126</v>
      </c>
      <c r="M11" s="23"/>
      <c r="N11" s="24" t="s">
        <v>222</v>
      </c>
      <c r="O11" s="23" t="s">
        <v>68</v>
      </c>
    </row>
    <row r="12" spans="1:15" x14ac:dyDescent="0.3">
      <c r="A12" s="23" t="s">
        <v>127</v>
      </c>
      <c r="B12" s="24">
        <v>25</v>
      </c>
      <c r="C12" s="23" t="s">
        <v>86</v>
      </c>
      <c r="D12" s="23" t="s">
        <v>79</v>
      </c>
      <c r="E12" s="25">
        <v>45937</v>
      </c>
      <c r="F12" s="25">
        <f t="shared" si="0"/>
        <v>59698</v>
      </c>
      <c r="G12" s="26">
        <v>200316201041</v>
      </c>
      <c r="H12" s="26">
        <f t="shared" ca="1" si="1"/>
        <v>23</v>
      </c>
      <c r="I12" s="23" t="s">
        <v>128</v>
      </c>
      <c r="J12" s="28" t="s">
        <v>129</v>
      </c>
      <c r="K12" s="24" t="s">
        <v>130</v>
      </c>
      <c r="L12" s="24" t="s">
        <v>131</v>
      </c>
      <c r="M12" s="23"/>
      <c r="N12" s="24" t="s">
        <v>223</v>
      </c>
      <c r="O12" s="23" t="s">
        <v>68</v>
      </c>
    </row>
    <row r="13" spans="1:15" x14ac:dyDescent="0.3">
      <c r="A13" s="23" t="s">
        <v>132</v>
      </c>
      <c r="B13" s="24">
        <v>26</v>
      </c>
      <c r="C13" s="23" t="s">
        <v>104</v>
      </c>
      <c r="D13" s="23" t="s">
        <v>105</v>
      </c>
      <c r="E13" s="25">
        <v>45971</v>
      </c>
      <c r="F13" s="25">
        <f t="shared" si="0"/>
        <v>60487</v>
      </c>
      <c r="G13" s="26">
        <v>200572003817</v>
      </c>
      <c r="H13" s="26">
        <f t="shared" ca="1" si="1"/>
        <v>21</v>
      </c>
      <c r="I13" s="23" t="s">
        <v>133</v>
      </c>
      <c r="J13" s="27" t="s">
        <v>134</v>
      </c>
      <c r="K13" s="24" t="s">
        <v>135</v>
      </c>
      <c r="L13" s="24" t="s">
        <v>136</v>
      </c>
      <c r="M13" s="23"/>
      <c r="N13" s="24" t="s">
        <v>224</v>
      </c>
      <c r="O13" s="23" t="s">
        <v>68</v>
      </c>
    </row>
    <row r="14" spans="1:15" x14ac:dyDescent="0.3">
      <c r="A14" s="23" t="s">
        <v>8</v>
      </c>
      <c r="B14" s="24">
        <v>27</v>
      </c>
      <c r="C14" s="23" t="s">
        <v>111</v>
      </c>
      <c r="D14" s="23" t="s">
        <v>79</v>
      </c>
      <c r="E14" s="25">
        <v>45978</v>
      </c>
      <c r="F14" s="25">
        <f t="shared" si="0"/>
        <v>60603</v>
      </c>
      <c r="G14" s="26">
        <v>200533602082</v>
      </c>
      <c r="H14" s="26">
        <f t="shared" ca="1" si="1"/>
        <v>20</v>
      </c>
      <c r="I14" s="23" t="s">
        <v>137</v>
      </c>
      <c r="J14" s="27" t="s">
        <v>138</v>
      </c>
      <c r="K14" s="24" t="s">
        <v>139</v>
      </c>
      <c r="L14" s="24" t="s">
        <v>140</v>
      </c>
      <c r="M14" s="23"/>
      <c r="N14" s="24" t="s">
        <v>225</v>
      </c>
      <c r="O14" s="23" t="s">
        <v>68</v>
      </c>
    </row>
    <row r="15" spans="1:15" x14ac:dyDescent="0.3">
      <c r="A15" s="23" t="s">
        <v>141</v>
      </c>
      <c r="B15" s="24">
        <v>28</v>
      </c>
      <c r="C15" s="23" t="s">
        <v>86</v>
      </c>
      <c r="D15" s="23" t="s">
        <v>105</v>
      </c>
      <c r="E15" s="25">
        <v>46023</v>
      </c>
      <c r="F15" s="25">
        <f t="shared" si="0"/>
        <v>57148</v>
      </c>
      <c r="G15" s="26">
        <v>199616902059</v>
      </c>
      <c r="H15" s="26">
        <f t="shared" ca="1" si="1"/>
        <v>30</v>
      </c>
      <c r="I15" s="23" t="s">
        <v>142</v>
      </c>
      <c r="J15" s="27" t="s">
        <v>143</v>
      </c>
      <c r="K15" s="24" t="s">
        <v>144</v>
      </c>
      <c r="L15" s="24" t="s">
        <v>145</v>
      </c>
      <c r="M15" s="23"/>
      <c r="N15" s="24" t="s">
        <v>226</v>
      </c>
      <c r="O15" s="23" t="s">
        <v>68</v>
      </c>
    </row>
    <row r="16" spans="1:15" x14ac:dyDescent="0.3">
      <c r="A16" s="23" t="s">
        <v>146</v>
      </c>
      <c r="B16" s="24">
        <v>29</v>
      </c>
      <c r="C16" s="23" t="s">
        <v>111</v>
      </c>
      <c r="D16" s="23" t="s">
        <v>79</v>
      </c>
      <c r="E16" s="25">
        <v>46104</v>
      </c>
      <c r="F16" s="25">
        <f t="shared" si="0"/>
        <v>60377</v>
      </c>
      <c r="G16" s="26">
        <v>200511002229</v>
      </c>
      <c r="H16" s="26">
        <f t="shared" ca="1" si="1"/>
        <v>21</v>
      </c>
      <c r="I16" s="23" t="s">
        <v>147</v>
      </c>
      <c r="J16" s="27" t="s">
        <v>148</v>
      </c>
      <c r="K16" s="24" t="s">
        <v>149</v>
      </c>
      <c r="L16" s="24" t="s">
        <v>150</v>
      </c>
      <c r="M16" s="23"/>
      <c r="N16" s="24" t="s">
        <v>227</v>
      </c>
      <c r="O16" s="23" t="s">
        <v>68</v>
      </c>
    </row>
    <row r="19" spans="4:4" x14ac:dyDescent="0.3">
      <c r="D19" s="29"/>
    </row>
    <row r="21" spans="4:4" x14ac:dyDescent="0.3">
      <c r="D21" s="29"/>
    </row>
    <row r="23" spans="4:4" x14ac:dyDescent="0.3">
      <c r="D23" s="29"/>
    </row>
    <row r="25" spans="4:4" x14ac:dyDescent="0.3">
      <c r="D25" s="29"/>
    </row>
    <row r="27" spans="4:4" x14ac:dyDescent="0.3">
      <c r="D27" s="29"/>
    </row>
  </sheetData>
  <autoFilter ref="A1:O16" xr:uid="{00000000-0009-0000-0000-000001000000}"/>
  <dataValidations count="3">
    <dataValidation type="list" allowBlank="1" showInputMessage="1" showErrorMessage="1" sqref="G12" xr:uid="{00000000-0002-0000-0100-000000000000}">
      <formula1>"Executive, Finance &amp; Accounts, Loan Operations &amp; Field,Back Office, Risk &amp; Recovery"</formula1>
    </dataValidation>
    <dataValidation type="list" allowBlank="1" showInputMessage="1" showErrorMessage="1" sqref="D3:D16" xr:uid="{00000000-0002-0000-0100-000001000000}">
      <formula1>"Executive , Finance &amp; Accounts , Loan Operations &amp; Field , Back Office , Risk &amp; Recovery"</formula1>
    </dataValidation>
    <dataValidation type="list" allowBlank="1" showInputMessage="1" showErrorMessage="1" sqref="D2" xr:uid="{00000000-0002-0000-0100-000002000000}">
      <formula1>"Executive Management , Finance &amp; Accounts , Loan Operations &amp; Field , Back Office , Risk &amp; Recovery"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82"/>
  <sheetViews>
    <sheetView tabSelected="1" workbookViewId="0">
      <pane ySplit="1" topLeftCell="A91" activePane="bottomLeft" state="frozen"/>
      <selection pane="bottomLeft" activeCell="H105" sqref="H105"/>
    </sheetView>
  </sheetViews>
  <sheetFormatPr defaultRowHeight="14.4" x14ac:dyDescent="0.3"/>
  <cols>
    <col min="1" max="1" width="18" customWidth="1"/>
    <col min="2" max="2" width="30" customWidth="1"/>
    <col min="3" max="3" width="16" customWidth="1"/>
    <col min="4" max="4" width="24" customWidth="1"/>
    <col min="5" max="25" width="16" customWidth="1"/>
    <col min="26" max="26" width="12" style="51" customWidth="1"/>
    <col min="27" max="27" width="36.88671875" style="48" bestFit="1" customWidth="1"/>
  </cols>
  <sheetData>
    <row r="1" spans="1:27" ht="30" customHeight="1" x14ac:dyDescent="0.3">
      <c r="A1" s="42" t="s">
        <v>151</v>
      </c>
      <c r="B1" s="42" t="s">
        <v>46</v>
      </c>
      <c r="C1" s="42" t="s">
        <v>47</v>
      </c>
      <c r="D1" s="42" t="s">
        <v>48</v>
      </c>
      <c r="E1" s="42" t="s">
        <v>18</v>
      </c>
      <c r="F1" s="42" t="s">
        <v>152</v>
      </c>
      <c r="G1" s="42" t="s">
        <v>153</v>
      </c>
      <c r="H1" s="42" t="s">
        <v>154</v>
      </c>
      <c r="I1" s="42" t="s">
        <v>155</v>
      </c>
      <c r="J1" s="42" t="s">
        <v>156</v>
      </c>
      <c r="K1" s="42" t="s">
        <v>24</v>
      </c>
      <c r="L1" s="42" t="s">
        <v>25</v>
      </c>
      <c r="M1" s="42" t="s">
        <v>157</v>
      </c>
      <c r="N1" s="42" t="s">
        <v>28</v>
      </c>
      <c r="O1" s="42" t="s">
        <v>158</v>
      </c>
      <c r="P1" s="42" t="s">
        <v>30</v>
      </c>
      <c r="Q1" s="42" t="s">
        <v>159</v>
      </c>
      <c r="R1" s="42" t="s">
        <v>32</v>
      </c>
      <c r="S1" s="42" t="s">
        <v>33</v>
      </c>
      <c r="T1" s="42" t="s">
        <v>34</v>
      </c>
      <c r="U1" s="42" t="s">
        <v>160</v>
      </c>
      <c r="V1" s="42" t="s">
        <v>161</v>
      </c>
      <c r="W1" s="42" t="s">
        <v>162</v>
      </c>
      <c r="X1" s="42" t="s">
        <v>39</v>
      </c>
      <c r="Y1" s="42" t="s">
        <v>40</v>
      </c>
      <c r="Z1" s="52" t="s">
        <v>163</v>
      </c>
      <c r="AA1" s="42" t="s">
        <v>163</v>
      </c>
    </row>
    <row r="2" spans="1:27" ht="15.75" customHeight="1" thickBot="1" x14ac:dyDescent="0.35">
      <c r="A2" s="35">
        <v>46113</v>
      </c>
      <c r="B2" t="s">
        <v>60</v>
      </c>
      <c r="C2">
        <v>5</v>
      </c>
      <c r="D2" t="s">
        <v>61</v>
      </c>
      <c r="E2" s="43">
        <v>61500</v>
      </c>
      <c r="F2" s="43">
        <v>3500</v>
      </c>
      <c r="G2" s="43">
        <v>53000</v>
      </c>
      <c r="H2" s="43">
        <v>0</v>
      </c>
      <c r="I2" s="43">
        <v>29000</v>
      </c>
      <c r="J2" s="43">
        <v>30000</v>
      </c>
      <c r="K2" s="43">
        <v>1000</v>
      </c>
      <c r="L2" s="43">
        <v>0</v>
      </c>
      <c r="M2" s="44">
        <f t="shared" ref="M2:M33" si="0">SUM(E2:L2)</f>
        <v>178000</v>
      </c>
      <c r="N2" s="44">
        <f t="shared" ref="N2:N33" si="1">(E2+F2)*8%</f>
        <v>5200</v>
      </c>
      <c r="O2" s="43">
        <v>0</v>
      </c>
      <c r="P2" s="43">
        <v>0</v>
      </c>
      <c r="Q2" s="43">
        <v>9250</v>
      </c>
      <c r="R2" s="43">
        <v>3700</v>
      </c>
      <c r="S2" s="43">
        <v>0</v>
      </c>
      <c r="T2" s="43">
        <v>0</v>
      </c>
      <c r="U2" s="43">
        <v>1680</v>
      </c>
      <c r="V2" s="44">
        <f t="shared" ref="V2:V33" si="2">SUM(N2:U2)</f>
        <v>19830</v>
      </c>
      <c r="W2" s="44">
        <f t="shared" ref="W2:W33" si="3">M2-V2</f>
        <v>158170</v>
      </c>
      <c r="X2" s="44">
        <f t="shared" ref="X2:X33" si="4">(E2+F2)*12%</f>
        <v>7800</v>
      </c>
      <c r="Y2" s="44">
        <f t="shared" ref="Y2:Y33" si="5">(E2+F2)*3%</f>
        <v>1950</v>
      </c>
      <c r="Z2" s="49" t="s">
        <v>164</v>
      </c>
      <c r="AA2" s="47" t="str">
        <f t="shared" ref="AA2:AA33" si="6">A2&amp;B2</f>
        <v>46113R A A S Ranasinghe</v>
      </c>
    </row>
    <row r="3" spans="1:27" ht="16.5" customHeight="1" thickTop="1" thickBot="1" x14ac:dyDescent="0.35">
      <c r="A3" s="35">
        <v>46113</v>
      </c>
      <c r="B3" t="s">
        <v>69</v>
      </c>
      <c r="C3">
        <v>10</v>
      </c>
      <c r="D3" t="s">
        <v>70</v>
      </c>
      <c r="E3" s="43">
        <v>26500</v>
      </c>
      <c r="F3" s="43">
        <v>3500</v>
      </c>
      <c r="G3" s="43">
        <v>5000</v>
      </c>
      <c r="H3" s="43">
        <v>0</v>
      </c>
      <c r="I3" s="43">
        <v>7000</v>
      </c>
      <c r="J3" s="43">
        <v>0</v>
      </c>
      <c r="K3" s="43">
        <v>1000</v>
      </c>
      <c r="L3" s="43">
        <v>2000</v>
      </c>
      <c r="M3" s="44">
        <f t="shared" si="0"/>
        <v>45000</v>
      </c>
      <c r="N3" s="44">
        <f t="shared" si="1"/>
        <v>2400</v>
      </c>
      <c r="O3" s="43">
        <v>0</v>
      </c>
      <c r="P3" s="43">
        <v>0</v>
      </c>
      <c r="Q3" s="43">
        <v>10000</v>
      </c>
      <c r="R3" s="43">
        <v>600</v>
      </c>
      <c r="S3" s="43">
        <v>0</v>
      </c>
      <c r="T3" s="43">
        <v>2000</v>
      </c>
      <c r="U3" s="43">
        <v>0</v>
      </c>
      <c r="V3" s="44">
        <f t="shared" si="2"/>
        <v>15000</v>
      </c>
      <c r="W3" s="44">
        <f t="shared" si="3"/>
        <v>30000</v>
      </c>
      <c r="X3" s="44">
        <f t="shared" si="4"/>
        <v>3600</v>
      </c>
      <c r="Y3" s="44">
        <f t="shared" si="5"/>
        <v>900</v>
      </c>
      <c r="Z3" s="50" t="s">
        <v>165</v>
      </c>
      <c r="AA3" s="47" t="str">
        <f t="shared" si="6"/>
        <v>46113P G U N Wimalasooriya</v>
      </c>
    </row>
    <row r="4" spans="1:27" ht="16.5" customHeight="1" thickTop="1" thickBot="1" x14ac:dyDescent="0.35">
      <c r="A4" s="35">
        <v>46113</v>
      </c>
      <c r="B4" t="s">
        <v>77</v>
      </c>
      <c r="C4">
        <v>16</v>
      </c>
      <c r="D4" t="s">
        <v>78</v>
      </c>
      <c r="E4" s="43">
        <v>41500</v>
      </c>
      <c r="F4" s="43">
        <v>3500</v>
      </c>
      <c r="G4" s="43">
        <v>17000</v>
      </c>
      <c r="H4" s="43">
        <v>8000</v>
      </c>
      <c r="I4" s="43">
        <v>24360</v>
      </c>
      <c r="J4" s="43">
        <v>0</v>
      </c>
      <c r="K4" s="43">
        <v>1000</v>
      </c>
      <c r="L4" s="43">
        <v>3050</v>
      </c>
      <c r="M4" s="44">
        <f t="shared" si="0"/>
        <v>98410</v>
      </c>
      <c r="N4" s="44">
        <f t="shared" si="1"/>
        <v>3600</v>
      </c>
      <c r="O4" s="43">
        <v>10000</v>
      </c>
      <c r="P4" s="43">
        <v>0</v>
      </c>
      <c r="Q4" s="43">
        <v>12500</v>
      </c>
      <c r="R4" s="43">
        <v>750</v>
      </c>
      <c r="S4" s="43">
        <v>0</v>
      </c>
      <c r="T4" s="43">
        <v>3050</v>
      </c>
      <c r="U4" s="43">
        <v>0</v>
      </c>
      <c r="V4" s="44">
        <f t="shared" si="2"/>
        <v>29900</v>
      </c>
      <c r="W4" s="44">
        <f t="shared" si="3"/>
        <v>68510</v>
      </c>
      <c r="X4" s="44">
        <f t="shared" si="4"/>
        <v>5400</v>
      </c>
      <c r="Y4" s="44">
        <f t="shared" si="5"/>
        <v>1350</v>
      </c>
      <c r="Z4" s="50" t="s">
        <v>166</v>
      </c>
      <c r="AA4" s="47" t="str">
        <f t="shared" si="6"/>
        <v>46113N M A G M Peiris</v>
      </c>
    </row>
    <row r="5" spans="1:27" ht="16.5" customHeight="1" thickTop="1" thickBot="1" x14ac:dyDescent="0.35">
      <c r="A5" s="35">
        <v>46113</v>
      </c>
      <c r="B5" t="s">
        <v>85</v>
      </c>
      <c r="C5">
        <v>17</v>
      </c>
      <c r="D5" t="s">
        <v>86</v>
      </c>
      <c r="E5" s="43">
        <v>31500</v>
      </c>
      <c r="F5" s="43">
        <v>3500</v>
      </c>
      <c r="G5" s="43">
        <v>7500</v>
      </c>
      <c r="H5" s="43">
        <v>5000</v>
      </c>
      <c r="I5" s="43">
        <v>24360</v>
      </c>
      <c r="J5" s="43">
        <v>10000</v>
      </c>
      <c r="K5" s="43">
        <v>1000</v>
      </c>
      <c r="L5" s="43">
        <v>3915</v>
      </c>
      <c r="M5" s="44">
        <f t="shared" si="0"/>
        <v>86775</v>
      </c>
      <c r="N5" s="44">
        <f t="shared" si="1"/>
        <v>2800</v>
      </c>
      <c r="O5" s="43">
        <v>12000</v>
      </c>
      <c r="P5" s="43">
        <v>0</v>
      </c>
      <c r="Q5" s="43">
        <v>10000</v>
      </c>
      <c r="R5" s="43">
        <v>1500</v>
      </c>
      <c r="S5" s="43">
        <v>0</v>
      </c>
      <c r="T5" s="43">
        <v>3915</v>
      </c>
      <c r="U5" s="43">
        <v>0</v>
      </c>
      <c r="V5" s="44">
        <f t="shared" si="2"/>
        <v>30215</v>
      </c>
      <c r="W5" s="44">
        <f t="shared" si="3"/>
        <v>56560</v>
      </c>
      <c r="X5" s="44">
        <f t="shared" si="4"/>
        <v>4200</v>
      </c>
      <c r="Y5" s="44">
        <f t="shared" si="5"/>
        <v>1050</v>
      </c>
      <c r="Z5" s="50" t="s">
        <v>167</v>
      </c>
      <c r="AA5" s="47" t="str">
        <f t="shared" si="6"/>
        <v>46113K R T Hemantha</v>
      </c>
    </row>
    <row r="6" spans="1:27" ht="16.5" customHeight="1" thickTop="1" thickBot="1" x14ac:dyDescent="0.35">
      <c r="A6" s="35">
        <v>46113</v>
      </c>
      <c r="B6" t="s">
        <v>92</v>
      </c>
      <c r="C6">
        <v>18</v>
      </c>
      <c r="D6" t="s">
        <v>93</v>
      </c>
      <c r="E6" s="43">
        <v>51500</v>
      </c>
      <c r="F6" s="43">
        <v>3500</v>
      </c>
      <c r="G6" s="43">
        <v>21000</v>
      </c>
      <c r="H6" s="43">
        <v>0</v>
      </c>
      <c r="I6" s="43">
        <v>10000</v>
      </c>
      <c r="J6" s="43">
        <v>0</v>
      </c>
      <c r="K6" s="43">
        <v>1000</v>
      </c>
      <c r="L6" s="43">
        <v>2000</v>
      </c>
      <c r="M6" s="44">
        <f t="shared" si="0"/>
        <v>89000</v>
      </c>
      <c r="N6" s="44">
        <f t="shared" si="1"/>
        <v>4400</v>
      </c>
      <c r="O6" s="43">
        <v>0</v>
      </c>
      <c r="P6" s="43">
        <v>0</v>
      </c>
      <c r="Q6" s="43">
        <v>10000</v>
      </c>
      <c r="R6" s="43">
        <v>2700</v>
      </c>
      <c r="S6" s="43">
        <v>0</v>
      </c>
      <c r="T6" s="43">
        <v>2000</v>
      </c>
      <c r="U6" s="43">
        <v>0</v>
      </c>
      <c r="V6" s="44">
        <f t="shared" si="2"/>
        <v>19100</v>
      </c>
      <c r="W6" s="44">
        <f t="shared" si="3"/>
        <v>69900</v>
      </c>
      <c r="X6" s="44">
        <f t="shared" si="4"/>
        <v>6600</v>
      </c>
      <c r="Y6" s="44">
        <f t="shared" si="5"/>
        <v>1650</v>
      </c>
      <c r="Z6" s="50" t="s">
        <v>168</v>
      </c>
      <c r="AA6" s="47" t="str">
        <f t="shared" si="6"/>
        <v>46113W M H M Weerasinghe</v>
      </c>
    </row>
    <row r="7" spans="1:27" ht="16.5" customHeight="1" thickTop="1" thickBot="1" x14ac:dyDescent="0.35">
      <c r="A7" s="35">
        <v>46113</v>
      </c>
      <c r="B7" t="s">
        <v>99</v>
      </c>
      <c r="C7">
        <v>19</v>
      </c>
      <c r="D7" t="s">
        <v>86</v>
      </c>
      <c r="E7" s="43">
        <v>36500</v>
      </c>
      <c r="F7" s="43">
        <v>3500</v>
      </c>
      <c r="G7" s="43">
        <v>7500</v>
      </c>
      <c r="H7" s="43">
        <v>5000</v>
      </c>
      <c r="I7" s="43">
        <v>24360</v>
      </c>
      <c r="J7" s="43">
        <v>10000</v>
      </c>
      <c r="K7" s="43">
        <v>1000</v>
      </c>
      <c r="L7" s="43">
        <v>11500</v>
      </c>
      <c r="M7" s="44">
        <f t="shared" si="0"/>
        <v>99360</v>
      </c>
      <c r="N7" s="44">
        <f t="shared" si="1"/>
        <v>3200</v>
      </c>
      <c r="O7" s="43">
        <v>0</v>
      </c>
      <c r="P7" s="43">
        <v>0</v>
      </c>
      <c r="Q7" s="43">
        <v>8333.33</v>
      </c>
      <c r="R7" s="43">
        <v>1500</v>
      </c>
      <c r="S7" s="43">
        <v>0</v>
      </c>
      <c r="T7" s="43">
        <v>11500</v>
      </c>
      <c r="U7" s="43">
        <v>0</v>
      </c>
      <c r="V7" s="44">
        <f t="shared" si="2"/>
        <v>24533.33</v>
      </c>
      <c r="W7" s="44">
        <f t="shared" si="3"/>
        <v>74826.67</v>
      </c>
      <c r="X7" s="44">
        <f t="shared" si="4"/>
        <v>4800</v>
      </c>
      <c r="Y7" s="44">
        <f t="shared" si="5"/>
        <v>1200</v>
      </c>
      <c r="Z7" s="50" t="s">
        <v>169</v>
      </c>
      <c r="AA7" s="47" t="str">
        <f t="shared" si="6"/>
        <v>46113R W D S Wijerathna</v>
      </c>
    </row>
    <row r="8" spans="1:27" ht="16.5" customHeight="1" thickTop="1" thickBot="1" x14ac:dyDescent="0.35">
      <c r="A8" s="35">
        <v>46113</v>
      </c>
      <c r="B8" t="s">
        <v>103</v>
      </c>
      <c r="C8">
        <v>21</v>
      </c>
      <c r="D8" t="s">
        <v>104</v>
      </c>
      <c r="E8" s="43">
        <v>26500</v>
      </c>
      <c r="F8" s="43">
        <v>3500</v>
      </c>
      <c r="G8" s="43">
        <v>0</v>
      </c>
      <c r="H8" s="43">
        <v>0</v>
      </c>
      <c r="I8" s="43">
        <v>5000</v>
      </c>
      <c r="J8" s="43">
        <v>0</v>
      </c>
      <c r="K8" s="43">
        <v>1000</v>
      </c>
      <c r="L8" s="43">
        <v>2000</v>
      </c>
      <c r="M8" s="44">
        <f t="shared" si="0"/>
        <v>38000</v>
      </c>
      <c r="N8" s="44">
        <f t="shared" si="1"/>
        <v>2400</v>
      </c>
      <c r="O8" s="43">
        <v>0</v>
      </c>
      <c r="P8" s="43">
        <v>0</v>
      </c>
      <c r="Q8" s="43">
        <v>6000</v>
      </c>
      <c r="R8" s="43">
        <v>900</v>
      </c>
      <c r="S8" s="43">
        <v>0</v>
      </c>
      <c r="T8" s="43">
        <v>2000</v>
      </c>
      <c r="U8" s="43">
        <v>0</v>
      </c>
      <c r="V8" s="44">
        <f t="shared" si="2"/>
        <v>11300</v>
      </c>
      <c r="W8" s="44">
        <f t="shared" si="3"/>
        <v>26700</v>
      </c>
      <c r="X8" s="44">
        <f t="shared" si="4"/>
        <v>3600</v>
      </c>
      <c r="Y8" s="44">
        <f t="shared" si="5"/>
        <v>900</v>
      </c>
      <c r="Z8" s="50" t="s">
        <v>170</v>
      </c>
      <c r="AA8" s="47" t="str">
        <f t="shared" si="6"/>
        <v>46113S Wathmi Sankalpana</v>
      </c>
    </row>
    <row r="9" spans="1:27" ht="16.5" customHeight="1" thickTop="1" thickBot="1" x14ac:dyDescent="0.35">
      <c r="A9" s="35">
        <v>46113</v>
      </c>
      <c r="B9" t="s">
        <v>110</v>
      </c>
      <c r="C9">
        <v>22</v>
      </c>
      <c r="D9" t="s">
        <v>111</v>
      </c>
      <c r="E9" s="43">
        <v>26500</v>
      </c>
      <c r="F9" s="43">
        <v>3500</v>
      </c>
      <c r="G9" s="43">
        <v>5000</v>
      </c>
      <c r="H9" s="43">
        <v>2760</v>
      </c>
      <c r="I9" s="43">
        <v>20880</v>
      </c>
      <c r="J9" s="43">
        <v>10000</v>
      </c>
      <c r="K9" s="43">
        <v>1000</v>
      </c>
      <c r="L9" s="43">
        <v>10175</v>
      </c>
      <c r="M9" s="44">
        <f t="shared" si="0"/>
        <v>79815</v>
      </c>
      <c r="N9" s="44">
        <f t="shared" si="1"/>
        <v>2400</v>
      </c>
      <c r="O9" s="43">
        <v>0</v>
      </c>
      <c r="P9" s="43">
        <v>0</v>
      </c>
      <c r="Q9" s="43">
        <v>5000</v>
      </c>
      <c r="R9" s="43">
        <v>2400</v>
      </c>
      <c r="S9" s="43">
        <v>0</v>
      </c>
      <c r="T9" s="43">
        <v>10175</v>
      </c>
      <c r="U9" s="43">
        <v>0</v>
      </c>
      <c r="V9" s="44">
        <f t="shared" si="2"/>
        <v>19975</v>
      </c>
      <c r="W9" s="44">
        <f t="shared" si="3"/>
        <v>59840</v>
      </c>
      <c r="X9" s="44">
        <f t="shared" si="4"/>
        <v>3600</v>
      </c>
      <c r="Y9" s="44">
        <f t="shared" si="5"/>
        <v>900</v>
      </c>
      <c r="Z9" s="50" t="s">
        <v>171</v>
      </c>
      <c r="AA9" s="47" t="str">
        <f t="shared" si="6"/>
        <v>46113E M P P W O R K Jayawardana</v>
      </c>
    </row>
    <row r="10" spans="1:27" ht="16.5" customHeight="1" thickTop="1" thickBot="1" x14ac:dyDescent="0.35">
      <c r="A10" s="35">
        <v>46113</v>
      </c>
      <c r="B10" t="s">
        <v>116</v>
      </c>
      <c r="C10">
        <v>23</v>
      </c>
      <c r="D10" t="s">
        <v>111</v>
      </c>
      <c r="E10" s="43">
        <v>26500</v>
      </c>
      <c r="F10" s="43">
        <v>3500</v>
      </c>
      <c r="G10" s="43">
        <v>7000</v>
      </c>
      <c r="H10" s="43">
        <v>5000</v>
      </c>
      <c r="I10" s="43">
        <v>20880</v>
      </c>
      <c r="J10" s="43">
        <v>0</v>
      </c>
      <c r="K10" s="43">
        <v>1000</v>
      </c>
      <c r="L10" s="43">
        <v>6272.5</v>
      </c>
      <c r="M10" s="44">
        <f t="shared" si="0"/>
        <v>70152.5</v>
      </c>
      <c r="N10" s="44">
        <f t="shared" si="1"/>
        <v>2400</v>
      </c>
      <c r="O10" s="43">
        <v>0</v>
      </c>
      <c r="P10" s="43">
        <v>0</v>
      </c>
      <c r="Q10" s="43">
        <v>10000</v>
      </c>
      <c r="R10" s="43">
        <v>1200</v>
      </c>
      <c r="S10" s="43">
        <v>0</v>
      </c>
      <c r="T10" s="43">
        <v>6272.5</v>
      </c>
      <c r="U10" s="43">
        <v>0</v>
      </c>
      <c r="V10" s="44">
        <f t="shared" si="2"/>
        <v>19872.5</v>
      </c>
      <c r="W10" s="44">
        <f t="shared" si="3"/>
        <v>50280</v>
      </c>
      <c r="X10" s="44">
        <f t="shared" si="4"/>
        <v>3600</v>
      </c>
      <c r="Y10" s="44">
        <f t="shared" si="5"/>
        <v>900</v>
      </c>
      <c r="Z10" s="50" t="s">
        <v>172</v>
      </c>
      <c r="AA10" s="47" t="str">
        <f t="shared" si="6"/>
        <v>46113T M R L B Thennakoon</v>
      </c>
    </row>
    <row r="11" spans="1:27" ht="16.5" customHeight="1" thickTop="1" thickBot="1" x14ac:dyDescent="0.35">
      <c r="A11" s="35">
        <v>46113</v>
      </c>
      <c r="B11" t="s">
        <v>121</v>
      </c>
      <c r="C11">
        <v>24</v>
      </c>
      <c r="D11" t="s">
        <v>86</v>
      </c>
      <c r="E11" s="43">
        <v>31500</v>
      </c>
      <c r="F11" s="43">
        <v>3500</v>
      </c>
      <c r="G11" s="43">
        <v>7500</v>
      </c>
      <c r="H11" s="43">
        <v>5000</v>
      </c>
      <c r="I11" s="43">
        <v>20880</v>
      </c>
      <c r="J11" s="43">
        <v>0</v>
      </c>
      <c r="K11" s="43">
        <v>1000</v>
      </c>
      <c r="L11" s="43">
        <v>14525</v>
      </c>
      <c r="M11" s="44">
        <f t="shared" si="0"/>
        <v>83905</v>
      </c>
      <c r="N11" s="44">
        <f t="shared" si="1"/>
        <v>2800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14525</v>
      </c>
      <c r="U11" s="43">
        <v>0</v>
      </c>
      <c r="V11" s="44">
        <f t="shared" si="2"/>
        <v>17325</v>
      </c>
      <c r="W11" s="44">
        <f t="shared" si="3"/>
        <v>66580</v>
      </c>
      <c r="X11" s="44">
        <f t="shared" si="4"/>
        <v>4200</v>
      </c>
      <c r="Y11" s="44">
        <f t="shared" si="5"/>
        <v>1050</v>
      </c>
      <c r="Z11" s="50"/>
      <c r="AA11" s="47" t="str">
        <f t="shared" si="6"/>
        <v>46113W K Senaverathna</v>
      </c>
    </row>
    <row r="12" spans="1:27" ht="16.5" customHeight="1" thickTop="1" thickBot="1" x14ac:dyDescent="0.35">
      <c r="A12" s="35">
        <v>46113</v>
      </c>
      <c r="B12" t="s">
        <v>127</v>
      </c>
      <c r="C12">
        <v>25</v>
      </c>
      <c r="D12" t="s">
        <v>86</v>
      </c>
      <c r="E12" s="43">
        <v>36500</v>
      </c>
      <c r="F12" s="43">
        <v>3500</v>
      </c>
      <c r="G12" s="43">
        <v>5000</v>
      </c>
      <c r="H12" s="43">
        <v>5000</v>
      </c>
      <c r="I12" s="43">
        <v>22620</v>
      </c>
      <c r="J12" s="43">
        <v>10000</v>
      </c>
      <c r="K12" s="43">
        <v>1000</v>
      </c>
      <c r="L12" s="43">
        <v>10650</v>
      </c>
      <c r="M12" s="44">
        <f t="shared" si="0"/>
        <v>94270</v>
      </c>
      <c r="N12" s="44">
        <f t="shared" si="1"/>
        <v>3200</v>
      </c>
      <c r="O12" s="43">
        <v>15000</v>
      </c>
      <c r="P12" s="43">
        <v>0</v>
      </c>
      <c r="Q12" s="43">
        <v>0</v>
      </c>
      <c r="R12" s="43">
        <v>0</v>
      </c>
      <c r="S12" s="43">
        <v>0</v>
      </c>
      <c r="T12" s="43">
        <v>10650</v>
      </c>
      <c r="U12" s="43">
        <v>0</v>
      </c>
      <c r="V12" s="44">
        <f t="shared" si="2"/>
        <v>28850</v>
      </c>
      <c r="W12" s="44">
        <f t="shared" si="3"/>
        <v>65420</v>
      </c>
      <c r="X12" s="44">
        <f t="shared" si="4"/>
        <v>4800</v>
      </c>
      <c r="Y12" s="44">
        <f t="shared" si="5"/>
        <v>1200</v>
      </c>
      <c r="Z12" s="50"/>
      <c r="AA12" s="47" t="str">
        <f t="shared" si="6"/>
        <v>46113D R G S L Ranaweera</v>
      </c>
    </row>
    <row r="13" spans="1:27" ht="16.5" customHeight="1" thickTop="1" thickBot="1" x14ac:dyDescent="0.35">
      <c r="A13" s="35">
        <v>46113</v>
      </c>
      <c r="B13" t="s">
        <v>132</v>
      </c>
      <c r="C13">
        <v>26</v>
      </c>
      <c r="D13" t="s">
        <v>104</v>
      </c>
      <c r="E13" s="43">
        <v>26500</v>
      </c>
      <c r="F13" s="43">
        <v>3500</v>
      </c>
      <c r="G13" s="43">
        <v>0</v>
      </c>
      <c r="H13" s="43">
        <v>0</v>
      </c>
      <c r="I13" s="43">
        <v>0</v>
      </c>
      <c r="J13" s="43">
        <v>0</v>
      </c>
      <c r="K13" s="43">
        <v>1000</v>
      </c>
      <c r="L13" s="43">
        <v>2000</v>
      </c>
      <c r="M13" s="44">
        <f t="shared" si="0"/>
        <v>33000</v>
      </c>
      <c r="N13" s="44">
        <f t="shared" si="1"/>
        <v>2400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2000</v>
      </c>
      <c r="U13" s="43">
        <v>0</v>
      </c>
      <c r="V13" s="44">
        <f t="shared" si="2"/>
        <v>4400</v>
      </c>
      <c r="W13" s="44">
        <f t="shared" si="3"/>
        <v>28600</v>
      </c>
      <c r="X13" s="44">
        <f t="shared" si="4"/>
        <v>3600</v>
      </c>
      <c r="Y13" s="44">
        <f t="shared" si="5"/>
        <v>900</v>
      </c>
      <c r="Z13" s="50"/>
      <c r="AA13" s="47" t="str">
        <f t="shared" si="6"/>
        <v>46113W A A Heshani Bandara</v>
      </c>
    </row>
    <row r="14" spans="1:27" ht="16.5" customHeight="1" thickTop="1" thickBot="1" x14ac:dyDescent="0.35">
      <c r="A14" s="35">
        <v>46113</v>
      </c>
      <c r="B14" t="s">
        <v>8</v>
      </c>
      <c r="C14">
        <v>27</v>
      </c>
      <c r="D14" t="s">
        <v>111</v>
      </c>
      <c r="E14" s="43">
        <v>26500</v>
      </c>
      <c r="F14" s="43">
        <v>3500</v>
      </c>
      <c r="G14" s="43">
        <v>2500</v>
      </c>
      <c r="H14" s="43">
        <v>2500</v>
      </c>
      <c r="I14" s="43">
        <v>17400</v>
      </c>
      <c r="J14" s="43">
        <v>10000</v>
      </c>
      <c r="K14" s="43">
        <v>1000</v>
      </c>
      <c r="L14" s="43">
        <v>9675</v>
      </c>
      <c r="M14" s="44">
        <f t="shared" si="0"/>
        <v>73075</v>
      </c>
      <c r="N14" s="44">
        <f t="shared" si="1"/>
        <v>2400</v>
      </c>
      <c r="O14" s="43">
        <v>0</v>
      </c>
      <c r="P14" s="43">
        <v>0</v>
      </c>
      <c r="Q14" s="43">
        <v>10000</v>
      </c>
      <c r="R14" s="43">
        <v>2400</v>
      </c>
      <c r="S14" s="43">
        <v>0</v>
      </c>
      <c r="T14" s="43">
        <v>9675</v>
      </c>
      <c r="U14" s="43">
        <v>0</v>
      </c>
      <c r="V14" s="44">
        <f t="shared" si="2"/>
        <v>24475</v>
      </c>
      <c r="W14" s="44">
        <f t="shared" si="3"/>
        <v>48600</v>
      </c>
      <c r="X14" s="44">
        <f t="shared" si="4"/>
        <v>3600</v>
      </c>
      <c r="Y14" s="44">
        <f t="shared" si="5"/>
        <v>900</v>
      </c>
      <c r="Z14" s="50" t="s">
        <v>173</v>
      </c>
      <c r="AA14" s="47" t="str">
        <f t="shared" si="6"/>
        <v>46113D M T S Disanayake</v>
      </c>
    </row>
    <row r="15" spans="1:27" ht="16.5" customHeight="1" thickTop="1" thickBot="1" x14ac:dyDescent="0.35">
      <c r="A15" s="35">
        <v>46113</v>
      </c>
      <c r="B15" t="s">
        <v>141</v>
      </c>
      <c r="C15">
        <v>28</v>
      </c>
      <c r="D15" t="s">
        <v>86</v>
      </c>
      <c r="E15" s="43">
        <v>36500</v>
      </c>
      <c r="F15" s="43">
        <v>3500</v>
      </c>
      <c r="G15" s="43">
        <v>5000</v>
      </c>
      <c r="H15" s="43">
        <v>5000</v>
      </c>
      <c r="I15" s="43">
        <v>22620</v>
      </c>
      <c r="J15" s="43">
        <v>10000</v>
      </c>
      <c r="K15" s="43">
        <v>1000</v>
      </c>
      <c r="L15" s="43">
        <v>9272.5</v>
      </c>
      <c r="M15" s="44">
        <f t="shared" si="0"/>
        <v>92892.5</v>
      </c>
      <c r="N15" s="44">
        <f t="shared" si="1"/>
        <v>3200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9272.5</v>
      </c>
      <c r="U15" s="43">
        <v>0</v>
      </c>
      <c r="V15" s="44">
        <f t="shared" si="2"/>
        <v>12472.5</v>
      </c>
      <c r="W15" s="44">
        <f t="shared" si="3"/>
        <v>80420</v>
      </c>
      <c r="X15" s="44">
        <f t="shared" si="4"/>
        <v>4800</v>
      </c>
      <c r="Y15" s="44">
        <f t="shared" si="5"/>
        <v>1200</v>
      </c>
      <c r="Z15" s="50"/>
      <c r="AA15" s="47" t="str">
        <f t="shared" si="6"/>
        <v>46113P L D B Wijewardhna</v>
      </c>
    </row>
    <row r="16" spans="1:27" ht="16.5" customHeight="1" thickTop="1" thickBot="1" x14ac:dyDescent="0.35">
      <c r="A16" s="35">
        <v>46113</v>
      </c>
      <c r="B16" t="s">
        <v>146</v>
      </c>
      <c r="D16" t="s">
        <v>111</v>
      </c>
      <c r="E16" s="43">
        <v>0</v>
      </c>
      <c r="F16" s="43">
        <v>0</v>
      </c>
      <c r="G16" s="43">
        <v>30000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4">
        <f t="shared" si="0"/>
        <v>30000</v>
      </c>
      <c r="N16" s="44">
        <f t="shared" si="1"/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4">
        <f t="shared" si="2"/>
        <v>0</v>
      </c>
      <c r="W16" s="44">
        <f t="shared" si="3"/>
        <v>30000</v>
      </c>
      <c r="X16" s="44">
        <f t="shared" si="4"/>
        <v>0</v>
      </c>
      <c r="Y16" s="44">
        <f t="shared" si="5"/>
        <v>0</v>
      </c>
      <c r="Z16" s="50"/>
      <c r="AA16" s="47" t="str">
        <f t="shared" si="6"/>
        <v>46113N G L D Supunsiri</v>
      </c>
    </row>
    <row r="17" spans="1:27" ht="16.5" customHeight="1" thickTop="1" thickBot="1" x14ac:dyDescent="0.35">
      <c r="A17" s="35">
        <v>46143</v>
      </c>
      <c r="B17" t="s">
        <v>60</v>
      </c>
      <c r="C17">
        <v>5</v>
      </c>
      <c r="D17" t="s">
        <v>61</v>
      </c>
      <c r="E17" s="43">
        <v>61500</v>
      </c>
      <c r="F17" s="43">
        <v>3500</v>
      </c>
      <c r="G17" s="43">
        <v>53000</v>
      </c>
      <c r="H17" s="43">
        <v>0</v>
      </c>
      <c r="I17" s="43">
        <v>29000</v>
      </c>
      <c r="J17" s="43">
        <v>30000</v>
      </c>
      <c r="K17" s="43">
        <v>1000</v>
      </c>
      <c r="L17" s="43">
        <v>0</v>
      </c>
      <c r="M17" s="44">
        <f t="shared" si="0"/>
        <v>178000</v>
      </c>
      <c r="N17" s="44">
        <f t="shared" si="1"/>
        <v>5200</v>
      </c>
      <c r="O17" s="43">
        <v>70000</v>
      </c>
      <c r="P17" s="43">
        <v>0</v>
      </c>
      <c r="Q17" s="43">
        <v>9250</v>
      </c>
      <c r="R17" s="43">
        <v>3515</v>
      </c>
      <c r="S17" s="43">
        <v>0</v>
      </c>
      <c r="T17" s="43">
        <v>0</v>
      </c>
      <c r="U17" s="43">
        <v>1680</v>
      </c>
      <c r="V17" s="44">
        <f t="shared" si="2"/>
        <v>89645</v>
      </c>
      <c r="W17" s="44">
        <f t="shared" si="3"/>
        <v>88355</v>
      </c>
      <c r="X17" s="44">
        <f t="shared" si="4"/>
        <v>7800</v>
      </c>
      <c r="Y17" s="44">
        <f t="shared" si="5"/>
        <v>1950</v>
      </c>
      <c r="Z17" s="49" t="s">
        <v>174</v>
      </c>
      <c r="AA17" s="47" t="str">
        <f t="shared" si="6"/>
        <v>46143R A A S Ranasinghe</v>
      </c>
    </row>
    <row r="18" spans="1:27" ht="16.5" customHeight="1" thickTop="1" thickBot="1" x14ac:dyDescent="0.35">
      <c r="A18" s="35">
        <v>46143</v>
      </c>
      <c r="B18" t="s">
        <v>69</v>
      </c>
      <c r="C18">
        <v>10</v>
      </c>
      <c r="D18" t="s">
        <v>70</v>
      </c>
      <c r="E18" s="43">
        <v>26500</v>
      </c>
      <c r="F18" s="43">
        <v>3500</v>
      </c>
      <c r="G18" s="43">
        <v>5000</v>
      </c>
      <c r="H18" s="43">
        <v>0</v>
      </c>
      <c r="I18" s="43">
        <v>7000</v>
      </c>
      <c r="J18" s="43">
        <v>0</v>
      </c>
      <c r="K18" s="43">
        <v>1000</v>
      </c>
      <c r="L18" s="43">
        <v>1500</v>
      </c>
      <c r="M18" s="44">
        <f t="shared" si="0"/>
        <v>44500</v>
      </c>
      <c r="N18" s="44">
        <f t="shared" si="1"/>
        <v>2400</v>
      </c>
      <c r="O18" s="43">
        <v>10000</v>
      </c>
      <c r="P18" s="43">
        <v>0</v>
      </c>
      <c r="Q18" s="43">
        <v>10000</v>
      </c>
      <c r="R18" s="43">
        <v>300</v>
      </c>
      <c r="S18" s="43">
        <v>0</v>
      </c>
      <c r="T18" s="43">
        <v>1500</v>
      </c>
      <c r="U18" s="43">
        <v>0</v>
      </c>
      <c r="V18" s="44">
        <f t="shared" si="2"/>
        <v>24200</v>
      </c>
      <c r="W18" s="44">
        <f t="shared" si="3"/>
        <v>20300</v>
      </c>
      <c r="X18" s="44">
        <f t="shared" si="4"/>
        <v>3600</v>
      </c>
      <c r="Y18" s="44">
        <f t="shared" si="5"/>
        <v>900</v>
      </c>
      <c r="Z18" s="50" t="s">
        <v>175</v>
      </c>
      <c r="AA18" s="47" t="str">
        <f t="shared" si="6"/>
        <v>46143P G U N Wimalasooriya</v>
      </c>
    </row>
    <row r="19" spans="1:27" ht="16.5" customHeight="1" thickTop="1" thickBot="1" x14ac:dyDescent="0.35">
      <c r="A19" s="35">
        <v>46143</v>
      </c>
      <c r="B19" t="s">
        <v>77</v>
      </c>
      <c r="C19">
        <v>16</v>
      </c>
      <c r="D19" t="s">
        <v>78</v>
      </c>
      <c r="E19" s="43">
        <v>41500</v>
      </c>
      <c r="F19" s="43">
        <v>3500</v>
      </c>
      <c r="G19" s="43">
        <v>17000</v>
      </c>
      <c r="H19" s="43">
        <v>8000</v>
      </c>
      <c r="I19" s="43">
        <v>24780</v>
      </c>
      <c r="J19" s="43">
        <v>0</v>
      </c>
      <c r="K19" s="43">
        <v>1000</v>
      </c>
      <c r="L19" s="43">
        <v>1380</v>
      </c>
      <c r="M19" s="44">
        <f t="shared" si="0"/>
        <v>97160</v>
      </c>
      <c r="N19" s="44">
        <f t="shared" si="1"/>
        <v>3600</v>
      </c>
      <c r="O19" s="43">
        <v>15000</v>
      </c>
      <c r="P19" s="43">
        <v>0</v>
      </c>
      <c r="Q19" s="43">
        <v>12500</v>
      </c>
      <c r="R19" s="43">
        <v>375</v>
      </c>
      <c r="S19" s="43">
        <v>0</v>
      </c>
      <c r="T19" s="43">
        <v>1380</v>
      </c>
      <c r="U19" s="43">
        <v>0</v>
      </c>
      <c r="V19" s="44">
        <f t="shared" si="2"/>
        <v>32855</v>
      </c>
      <c r="W19" s="44">
        <f t="shared" si="3"/>
        <v>64305</v>
      </c>
      <c r="X19" s="44">
        <f t="shared" si="4"/>
        <v>5400</v>
      </c>
      <c r="Y19" s="44">
        <f t="shared" si="5"/>
        <v>1350</v>
      </c>
      <c r="Z19" s="50" t="s">
        <v>176</v>
      </c>
      <c r="AA19" s="47" t="str">
        <f t="shared" si="6"/>
        <v>46143N M A G M Peiris</v>
      </c>
    </row>
    <row r="20" spans="1:27" ht="16.5" customHeight="1" thickTop="1" thickBot="1" x14ac:dyDescent="0.35">
      <c r="A20" s="35">
        <v>46143</v>
      </c>
      <c r="B20" t="s">
        <v>85</v>
      </c>
      <c r="C20">
        <v>17</v>
      </c>
      <c r="D20" t="s">
        <v>86</v>
      </c>
      <c r="E20" s="43">
        <v>31500</v>
      </c>
      <c r="F20" s="43">
        <v>3500</v>
      </c>
      <c r="G20" s="43">
        <v>7500</v>
      </c>
      <c r="H20" s="43">
        <v>5000</v>
      </c>
      <c r="I20" s="43">
        <v>24780</v>
      </c>
      <c r="J20" s="43">
        <v>10000</v>
      </c>
      <c r="K20" s="43">
        <v>1000</v>
      </c>
      <c r="L20" s="43">
        <v>3620</v>
      </c>
      <c r="M20" s="44">
        <f t="shared" si="0"/>
        <v>86900</v>
      </c>
      <c r="N20" s="44">
        <f t="shared" si="1"/>
        <v>2800</v>
      </c>
      <c r="O20" s="43">
        <v>17000</v>
      </c>
      <c r="P20" s="43">
        <v>0</v>
      </c>
      <c r="Q20" s="43">
        <v>10000</v>
      </c>
      <c r="R20" s="43">
        <v>1200</v>
      </c>
      <c r="S20" s="43">
        <v>0</v>
      </c>
      <c r="T20" s="43">
        <v>3620</v>
      </c>
      <c r="U20" s="43">
        <v>0</v>
      </c>
      <c r="V20" s="44">
        <f t="shared" si="2"/>
        <v>34620</v>
      </c>
      <c r="W20" s="44">
        <f t="shared" si="3"/>
        <v>52280</v>
      </c>
      <c r="X20" s="44">
        <f t="shared" si="4"/>
        <v>4200</v>
      </c>
      <c r="Y20" s="44">
        <f t="shared" si="5"/>
        <v>1050</v>
      </c>
      <c r="Z20" s="50" t="s">
        <v>177</v>
      </c>
      <c r="AA20" s="47" t="str">
        <f t="shared" si="6"/>
        <v>46143K R T Hemantha</v>
      </c>
    </row>
    <row r="21" spans="1:27" ht="16.5" customHeight="1" thickTop="1" thickBot="1" x14ac:dyDescent="0.35">
      <c r="A21" s="35">
        <v>46143</v>
      </c>
      <c r="B21" t="s">
        <v>92</v>
      </c>
      <c r="C21">
        <v>18</v>
      </c>
      <c r="D21" t="s">
        <v>93</v>
      </c>
      <c r="E21" s="43">
        <v>51500</v>
      </c>
      <c r="F21" s="43">
        <v>3500</v>
      </c>
      <c r="G21" s="43">
        <v>21000</v>
      </c>
      <c r="H21" s="43">
        <v>0</v>
      </c>
      <c r="I21" s="43">
        <v>10000</v>
      </c>
      <c r="J21" s="43">
        <v>0</v>
      </c>
      <c r="K21" s="43">
        <v>1000</v>
      </c>
      <c r="L21" s="43">
        <v>1500</v>
      </c>
      <c r="M21" s="44">
        <f t="shared" si="0"/>
        <v>88500</v>
      </c>
      <c r="N21" s="44">
        <f t="shared" si="1"/>
        <v>4400</v>
      </c>
      <c r="O21" s="43">
        <v>0</v>
      </c>
      <c r="P21" s="43">
        <v>0</v>
      </c>
      <c r="Q21" s="43">
        <v>10000</v>
      </c>
      <c r="R21" s="43">
        <v>2400</v>
      </c>
      <c r="S21" s="43">
        <v>0</v>
      </c>
      <c r="T21" s="43">
        <v>1500</v>
      </c>
      <c r="U21" s="43">
        <v>0</v>
      </c>
      <c r="V21" s="44">
        <f t="shared" si="2"/>
        <v>18300</v>
      </c>
      <c r="W21" s="44">
        <f t="shared" si="3"/>
        <v>70200</v>
      </c>
      <c r="X21" s="44">
        <f t="shared" si="4"/>
        <v>6600</v>
      </c>
      <c r="Y21" s="44">
        <f t="shared" si="5"/>
        <v>1650</v>
      </c>
      <c r="Z21" s="50" t="s">
        <v>173</v>
      </c>
      <c r="AA21" s="47" t="str">
        <f t="shared" si="6"/>
        <v>46143W M H M Weerasinghe</v>
      </c>
    </row>
    <row r="22" spans="1:27" ht="16.5" customHeight="1" thickTop="1" thickBot="1" x14ac:dyDescent="0.35">
      <c r="A22" s="35">
        <v>46143</v>
      </c>
      <c r="B22" t="s">
        <v>99</v>
      </c>
      <c r="C22">
        <v>19</v>
      </c>
      <c r="D22" t="s">
        <v>86</v>
      </c>
      <c r="E22" s="43">
        <v>36500</v>
      </c>
      <c r="F22" s="43">
        <v>3500</v>
      </c>
      <c r="G22" s="43">
        <v>7500</v>
      </c>
      <c r="H22" s="43">
        <v>5000</v>
      </c>
      <c r="I22" s="43">
        <v>24780</v>
      </c>
      <c r="J22" s="43">
        <v>10000</v>
      </c>
      <c r="K22" s="43">
        <v>1000</v>
      </c>
      <c r="L22" s="43">
        <v>10000</v>
      </c>
      <c r="M22" s="44">
        <f t="shared" si="0"/>
        <v>98280</v>
      </c>
      <c r="N22" s="44">
        <f t="shared" si="1"/>
        <v>3200</v>
      </c>
      <c r="O22" s="43">
        <v>0</v>
      </c>
      <c r="P22" s="43">
        <v>0</v>
      </c>
      <c r="Q22" s="43">
        <v>8333.33</v>
      </c>
      <c r="R22" s="43">
        <v>1250</v>
      </c>
      <c r="S22" s="43">
        <v>0</v>
      </c>
      <c r="T22" s="43">
        <v>10000</v>
      </c>
      <c r="U22" s="43">
        <v>0</v>
      </c>
      <c r="V22" s="44">
        <f t="shared" si="2"/>
        <v>22783.33</v>
      </c>
      <c r="W22" s="44">
        <f t="shared" si="3"/>
        <v>75496.67</v>
      </c>
      <c r="X22" s="44">
        <f t="shared" si="4"/>
        <v>4800</v>
      </c>
      <c r="Y22" s="44">
        <f t="shared" si="5"/>
        <v>1200</v>
      </c>
      <c r="Z22" s="50" t="s">
        <v>178</v>
      </c>
      <c r="AA22" s="47" t="str">
        <f t="shared" si="6"/>
        <v>46143R W D S Wijerathna</v>
      </c>
    </row>
    <row r="23" spans="1:27" ht="16.5" customHeight="1" thickTop="1" thickBot="1" x14ac:dyDescent="0.35">
      <c r="A23" s="35">
        <v>46143</v>
      </c>
      <c r="B23" t="s">
        <v>103</v>
      </c>
      <c r="C23">
        <v>21</v>
      </c>
      <c r="D23" t="s">
        <v>104</v>
      </c>
      <c r="E23" s="43">
        <v>26500</v>
      </c>
      <c r="F23" s="43">
        <v>3500</v>
      </c>
      <c r="G23" s="43">
        <v>0</v>
      </c>
      <c r="H23" s="43">
        <v>0</v>
      </c>
      <c r="I23" s="43">
        <v>5000</v>
      </c>
      <c r="J23" s="43">
        <v>0</v>
      </c>
      <c r="K23" s="43">
        <v>1000</v>
      </c>
      <c r="L23" s="43">
        <v>1500</v>
      </c>
      <c r="M23" s="44">
        <f t="shared" si="0"/>
        <v>37500</v>
      </c>
      <c r="N23" s="44">
        <f t="shared" si="1"/>
        <v>2400</v>
      </c>
      <c r="O23" s="43">
        <v>2000</v>
      </c>
      <c r="P23" s="43">
        <v>0</v>
      </c>
      <c r="Q23" s="43">
        <v>6000</v>
      </c>
      <c r="R23" s="43">
        <v>720</v>
      </c>
      <c r="S23" s="43">
        <v>0</v>
      </c>
      <c r="T23" s="43">
        <v>1500</v>
      </c>
      <c r="U23" s="43">
        <v>0</v>
      </c>
      <c r="V23" s="44">
        <f t="shared" si="2"/>
        <v>12620</v>
      </c>
      <c r="W23" s="44">
        <f t="shared" si="3"/>
        <v>24880</v>
      </c>
      <c r="X23" s="44">
        <f t="shared" si="4"/>
        <v>3600</v>
      </c>
      <c r="Y23" s="44">
        <f t="shared" si="5"/>
        <v>900</v>
      </c>
      <c r="Z23" s="50" t="s">
        <v>172</v>
      </c>
      <c r="AA23" s="47" t="str">
        <f t="shared" si="6"/>
        <v>46143S Wathmi Sankalpana</v>
      </c>
    </row>
    <row r="24" spans="1:27" ht="16.5" customHeight="1" thickTop="1" thickBot="1" x14ac:dyDescent="0.35">
      <c r="A24" s="35">
        <v>46143</v>
      </c>
      <c r="B24" t="s">
        <v>110</v>
      </c>
      <c r="C24">
        <v>22</v>
      </c>
      <c r="D24" t="s">
        <v>111</v>
      </c>
      <c r="E24" s="43">
        <v>26500</v>
      </c>
      <c r="F24" s="43">
        <v>3500</v>
      </c>
      <c r="G24" s="43">
        <v>5000</v>
      </c>
      <c r="H24" s="43">
        <v>2760</v>
      </c>
      <c r="I24" s="43">
        <v>21240</v>
      </c>
      <c r="J24" s="43">
        <v>10000</v>
      </c>
      <c r="K24" s="43">
        <v>1000</v>
      </c>
      <c r="L24" s="43">
        <v>8000</v>
      </c>
      <c r="M24" s="44">
        <f t="shared" si="0"/>
        <v>78000</v>
      </c>
      <c r="N24" s="44">
        <f t="shared" si="1"/>
        <v>2400</v>
      </c>
      <c r="O24" s="43">
        <v>6000</v>
      </c>
      <c r="P24" s="43">
        <v>0</v>
      </c>
      <c r="Q24" s="43">
        <v>5000</v>
      </c>
      <c r="R24" s="43">
        <v>2250</v>
      </c>
      <c r="S24" s="43">
        <v>0</v>
      </c>
      <c r="T24" s="43">
        <v>8000</v>
      </c>
      <c r="U24" s="43">
        <v>0</v>
      </c>
      <c r="V24" s="44">
        <f t="shared" si="2"/>
        <v>23650</v>
      </c>
      <c r="W24" s="44">
        <f t="shared" si="3"/>
        <v>54350</v>
      </c>
      <c r="X24" s="44">
        <f t="shared" si="4"/>
        <v>3600</v>
      </c>
      <c r="Y24" s="44">
        <f t="shared" si="5"/>
        <v>900</v>
      </c>
      <c r="Z24" s="50" t="s">
        <v>179</v>
      </c>
      <c r="AA24" s="47" t="str">
        <f t="shared" si="6"/>
        <v>46143E M P P W O R K Jayawardana</v>
      </c>
    </row>
    <row r="25" spans="1:27" ht="16.5" customHeight="1" thickTop="1" thickBot="1" x14ac:dyDescent="0.35">
      <c r="A25" s="35">
        <v>46143</v>
      </c>
      <c r="B25" t="s">
        <v>116</v>
      </c>
      <c r="C25">
        <v>23</v>
      </c>
      <c r="D25" t="s">
        <v>111</v>
      </c>
      <c r="E25" s="43">
        <v>26500</v>
      </c>
      <c r="F25" s="43">
        <v>3500</v>
      </c>
      <c r="G25" s="43">
        <v>7000</v>
      </c>
      <c r="H25" s="43">
        <v>5000</v>
      </c>
      <c r="I25" s="43">
        <v>21240</v>
      </c>
      <c r="J25" s="43">
        <v>0</v>
      </c>
      <c r="K25" s="43">
        <v>1000</v>
      </c>
      <c r="L25" s="43">
        <v>1720</v>
      </c>
      <c r="M25" s="44">
        <f t="shared" si="0"/>
        <v>65960</v>
      </c>
      <c r="N25" s="44">
        <f t="shared" si="1"/>
        <v>2400</v>
      </c>
      <c r="O25" s="43">
        <v>6000</v>
      </c>
      <c r="P25" s="43">
        <v>0</v>
      </c>
      <c r="Q25" s="43">
        <v>10000</v>
      </c>
      <c r="R25" s="43">
        <v>900</v>
      </c>
      <c r="S25" s="43">
        <v>0</v>
      </c>
      <c r="T25" s="43">
        <v>1720</v>
      </c>
      <c r="U25" s="43">
        <v>0</v>
      </c>
      <c r="V25" s="44">
        <f t="shared" si="2"/>
        <v>21020</v>
      </c>
      <c r="W25" s="44">
        <f t="shared" si="3"/>
        <v>44940</v>
      </c>
      <c r="X25" s="44">
        <f t="shared" si="4"/>
        <v>3600</v>
      </c>
      <c r="Y25" s="44">
        <f t="shared" si="5"/>
        <v>900</v>
      </c>
      <c r="Z25" s="50" t="s">
        <v>180</v>
      </c>
      <c r="AA25" s="47" t="str">
        <f t="shared" si="6"/>
        <v>46143T M R L B Thennakoon</v>
      </c>
    </row>
    <row r="26" spans="1:27" ht="16.5" customHeight="1" thickTop="1" thickBot="1" x14ac:dyDescent="0.35">
      <c r="A26" s="35">
        <v>46143</v>
      </c>
      <c r="B26" t="s">
        <v>121</v>
      </c>
      <c r="C26">
        <v>24</v>
      </c>
      <c r="D26" t="s">
        <v>86</v>
      </c>
      <c r="E26" s="43">
        <v>31500</v>
      </c>
      <c r="F26" s="43">
        <v>3500</v>
      </c>
      <c r="G26" s="43">
        <v>7500</v>
      </c>
      <c r="H26" s="43">
        <v>5000</v>
      </c>
      <c r="I26" s="43">
        <v>21240</v>
      </c>
      <c r="J26" s="43">
        <v>0</v>
      </c>
      <c r="K26" s="43">
        <v>1000</v>
      </c>
      <c r="L26" s="43">
        <v>11420</v>
      </c>
      <c r="M26" s="44">
        <f t="shared" si="0"/>
        <v>81160</v>
      </c>
      <c r="N26" s="44">
        <f t="shared" si="1"/>
        <v>2800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11420</v>
      </c>
      <c r="U26" s="43">
        <v>0</v>
      </c>
      <c r="V26" s="44">
        <f t="shared" si="2"/>
        <v>14220</v>
      </c>
      <c r="W26" s="44">
        <f t="shared" si="3"/>
        <v>66940</v>
      </c>
      <c r="X26" s="44">
        <f t="shared" si="4"/>
        <v>4200</v>
      </c>
      <c r="Y26" s="44">
        <f t="shared" si="5"/>
        <v>1050</v>
      </c>
      <c r="Z26" s="50"/>
      <c r="AA26" s="47" t="str">
        <f t="shared" si="6"/>
        <v>46143W K Senaverathna</v>
      </c>
    </row>
    <row r="27" spans="1:27" ht="16.5" customHeight="1" thickTop="1" thickBot="1" x14ac:dyDescent="0.35">
      <c r="A27" s="35">
        <v>46143</v>
      </c>
      <c r="B27" t="s">
        <v>127</v>
      </c>
      <c r="C27">
        <v>25</v>
      </c>
      <c r="D27" t="s">
        <v>86</v>
      </c>
      <c r="E27" s="43">
        <v>36500</v>
      </c>
      <c r="F27" s="43">
        <v>3500</v>
      </c>
      <c r="G27" s="43">
        <v>5000</v>
      </c>
      <c r="H27" s="43">
        <v>5000</v>
      </c>
      <c r="I27" s="43">
        <v>23010</v>
      </c>
      <c r="J27" s="43">
        <v>10000</v>
      </c>
      <c r="K27" s="43">
        <v>1000</v>
      </c>
      <c r="L27" s="43">
        <v>7475</v>
      </c>
      <c r="M27" s="44">
        <f t="shared" si="0"/>
        <v>91485</v>
      </c>
      <c r="N27" s="44">
        <f t="shared" si="1"/>
        <v>3200</v>
      </c>
      <c r="O27" s="43">
        <v>15000</v>
      </c>
      <c r="P27" s="43">
        <v>0</v>
      </c>
      <c r="Q27" s="43">
        <v>10000</v>
      </c>
      <c r="R27" s="43">
        <v>1800</v>
      </c>
      <c r="S27" s="43">
        <v>0</v>
      </c>
      <c r="T27" s="43">
        <v>7475</v>
      </c>
      <c r="U27" s="43">
        <v>0</v>
      </c>
      <c r="V27" s="44">
        <f t="shared" si="2"/>
        <v>37475</v>
      </c>
      <c r="W27" s="44">
        <f t="shared" si="3"/>
        <v>54010</v>
      </c>
      <c r="X27" s="44">
        <f t="shared" si="4"/>
        <v>4800</v>
      </c>
      <c r="Y27" s="44">
        <f t="shared" si="5"/>
        <v>1200</v>
      </c>
      <c r="Z27" s="50" t="s">
        <v>181</v>
      </c>
      <c r="AA27" s="47" t="str">
        <f t="shared" si="6"/>
        <v>46143D R G S L Ranaweera</v>
      </c>
    </row>
    <row r="28" spans="1:27" ht="16.5" customHeight="1" thickTop="1" thickBot="1" x14ac:dyDescent="0.35">
      <c r="A28" s="35">
        <v>46143</v>
      </c>
      <c r="B28" t="s">
        <v>132</v>
      </c>
      <c r="C28">
        <v>26</v>
      </c>
      <c r="D28" t="s">
        <v>104</v>
      </c>
      <c r="E28" s="43">
        <v>26500</v>
      </c>
      <c r="F28" s="43">
        <v>3500</v>
      </c>
      <c r="G28" s="43">
        <v>0</v>
      </c>
      <c r="H28" s="43">
        <v>0</v>
      </c>
      <c r="I28" s="43">
        <v>0</v>
      </c>
      <c r="J28" s="43">
        <v>0</v>
      </c>
      <c r="K28" s="43">
        <v>1000</v>
      </c>
      <c r="L28" s="43">
        <v>1500</v>
      </c>
      <c r="M28" s="44">
        <f t="shared" si="0"/>
        <v>32500</v>
      </c>
      <c r="N28" s="44">
        <f t="shared" si="1"/>
        <v>2400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1500</v>
      </c>
      <c r="U28" s="43">
        <v>0</v>
      </c>
      <c r="V28" s="44">
        <f t="shared" si="2"/>
        <v>3900</v>
      </c>
      <c r="W28" s="44">
        <f t="shared" si="3"/>
        <v>28600</v>
      </c>
      <c r="X28" s="44">
        <f t="shared" si="4"/>
        <v>3600</v>
      </c>
      <c r="Y28" s="44">
        <f t="shared" si="5"/>
        <v>900</v>
      </c>
      <c r="Z28" s="50"/>
      <c r="AA28" s="47" t="str">
        <f t="shared" si="6"/>
        <v>46143W A A Heshani Bandara</v>
      </c>
    </row>
    <row r="29" spans="1:27" ht="16.5" customHeight="1" thickTop="1" thickBot="1" x14ac:dyDescent="0.35">
      <c r="A29" s="35">
        <v>46143</v>
      </c>
      <c r="B29" t="s">
        <v>8</v>
      </c>
      <c r="C29">
        <v>27</v>
      </c>
      <c r="D29" t="s">
        <v>111</v>
      </c>
      <c r="E29" s="43">
        <v>26500</v>
      </c>
      <c r="F29" s="43">
        <v>3500</v>
      </c>
      <c r="G29" s="43">
        <v>2500</v>
      </c>
      <c r="H29" s="43">
        <v>2500</v>
      </c>
      <c r="I29" s="43">
        <v>17700</v>
      </c>
      <c r="J29" s="43">
        <v>10000</v>
      </c>
      <c r="K29" s="43">
        <v>1000</v>
      </c>
      <c r="L29" s="43">
        <v>4560</v>
      </c>
      <c r="M29" s="44">
        <f t="shared" si="0"/>
        <v>68260</v>
      </c>
      <c r="N29" s="44">
        <f t="shared" si="1"/>
        <v>2400</v>
      </c>
      <c r="O29" s="43">
        <v>5000</v>
      </c>
      <c r="P29" s="43">
        <v>0</v>
      </c>
      <c r="Q29" s="43">
        <v>10000</v>
      </c>
      <c r="R29" s="43">
        <v>2100</v>
      </c>
      <c r="S29" s="43">
        <v>0</v>
      </c>
      <c r="T29" s="43">
        <v>4560</v>
      </c>
      <c r="U29" s="43">
        <v>0</v>
      </c>
      <c r="V29" s="44">
        <f t="shared" si="2"/>
        <v>24060</v>
      </c>
      <c r="W29" s="44">
        <f t="shared" si="3"/>
        <v>44200</v>
      </c>
      <c r="X29" s="44">
        <f t="shared" si="4"/>
        <v>3600</v>
      </c>
      <c r="Y29" s="44">
        <f t="shared" si="5"/>
        <v>900</v>
      </c>
      <c r="Z29" s="50" t="s">
        <v>182</v>
      </c>
      <c r="AA29" s="47" t="str">
        <f t="shared" si="6"/>
        <v>46143D M T S Disanayake</v>
      </c>
    </row>
    <row r="30" spans="1:27" ht="16.5" customHeight="1" thickTop="1" thickBot="1" x14ac:dyDescent="0.35">
      <c r="A30" s="35">
        <v>46143</v>
      </c>
      <c r="B30" t="s">
        <v>141</v>
      </c>
      <c r="C30">
        <v>28</v>
      </c>
      <c r="D30" t="s">
        <v>86</v>
      </c>
      <c r="E30" s="43">
        <v>36500</v>
      </c>
      <c r="F30" s="43">
        <v>3500</v>
      </c>
      <c r="G30" s="43">
        <v>5000</v>
      </c>
      <c r="H30" s="43">
        <v>5000</v>
      </c>
      <c r="I30" s="43">
        <v>23010</v>
      </c>
      <c r="J30" s="43">
        <v>10000</v>
      </c>
      <c r="K30" s="43">
        <v>1000</v>
      </c>
      <c r="L30" s="43">
        <v>5000</v>
      </c>
      <c r="M30" s="44">
        <f t="shared" si="0"/>
        <v>89010</v>
      </c>
      <c r="N30" s="44">
        <f t="shared" si="1"/>
        <v>3200</v>
      </c>
      <c r="O30" s="43">
        <v>5000</v>
      </c>
      <c r="P30" s="43">
        <v>0</v>
      </c>
      <c r="Q30" s="43">
        <v>0</v>
      </c>
      <c r="R30" s="43">
        <v>0</v>
      </c>
      <c r="S30" s="43">
        <v>0</v>
      </c>
      <c r="T30" s="43">
        <v>5000</v>
      </c>
      <c r="U30" s="43">
        <v>0</v>
      </c>
      <c r="V30" s="44">
        <f t="shared" si="2"/>
        <v>13200</v>
      </c>
      <c r="W30" s="44">
        <f t="shared" si="3"/>
        <v>75810</v>
      </c>
      <c r="X30" s="44">
        <f t="shared" si="4"/>
        <v>4800</v>
      </c>
      <c r="Y30" s="44">
        <f t="shared" si="5"/>
        <v>1200</v>
      </c>
      <c r="Z30" s="50"/>
      <c r="AA30" s="47" t="str">
        <f t="shared" si="6"/>
        <v>46143P L D B Wijewardhna</v>
      </c>
    </row>
    <row r="31" spans="1:27" ht="16.5" customHeight="1" thickTop="1" thickBot="1" x14ac:dyDescent="0.35">
      <c r="A31" s="35">
        <v>46143</v>
      </c>
      <c r="B31" t="s">
        <v>146</v>
      </c>
      <c r="D31" t="s">
        <v>111</v>
      </c>
      <c r="E31" s="43">
        <v>26500</v>
      </c>
      <c r="F31" s="43">
        <v>3500</v>
      </c>
      <c r="G31" s="43">
        <v>5000</v>
      </c>
      <c r="H31" s="43">
        <v>5000</v>
      </c>
      <c r="I31" s="43">
        <v>14160</v>
      </c>
      <c r="J31" s="43">
        <v>0</v>
      </c>
      <c r="K31" s="43">
        <v>1000</v>
      </c>
      <c r="L31" s="43">
        <v>0</v>
      </c>
      <c r="M31" s="44">
        <f t="shared" si="0"/>
        <v>55160</v>
      </c>
      <c r="N31" s="44">
        <f t="shared" si="1"/>
        <v>2400</v>
      </c>
      <c r="O31" s="43">
        <v>6000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4">
        <f t="shared" si="2"/>
        <v>8400</v>
      </c>
      <c r="W31" s="44">
        <f t="shared" si="3"/>
        <v>46760</v>
      </c>
      <c r="X31" s="44">
        <f t="shared" si="4"/>
        <v>3600</v>
      </c>
      <c r="Y31" s="44">
        <f t="shared" si="5"/>
        <v>900</v>
      </c>
      <c r="Z31" s="50"/>
      <c r="AA31" s="47" t="str">
        <f t="shared" si="6"/>
        <v>46143N G L D Supunsiri</v>
      </c>
    </row>
    <row r="32" spans="1:27" ht="16.5" customHeight="1" thickTop="1" thickBot="1" x14ac:dyDescent="0.35">
      <c r="A32" s="35">
        <v>46174</v>
      </c>
      <c r="B32" t="s">
        <v>60</v>
      </c>
      <c r="C32">
        <v>5</v>
      </c>
      <c r="D32" t="s">
        <v>61</v>
      </c>
      <c r="E32" s="43">
        <v>61500</v>
      </c>
      <c r="F32" s="43">
        <v>3500</v>
      </c>
      <c r="G32" s="43">
        <v>53000</v>
      </c>
      <c r="H32" s="43">
        <v>0</v>
      </c>
      <c r="I32" s="43">
        <v>29000</v>
      </c>
      <c r="J32" s="43">
        <v>30000</v>
      </c>
      <c r="K32" s="43">
        <v>1000</v>
      </c>
      <c r="L32" s="43">
        <v>0</v>
      </c>
      <c r="M32" s="44">
        <f t="shared" si="0"/>
        <v>178000</v>
      </c>
      <c r="N32" s="44">
        <f t="shared" si="1"/>
        <v>5200</v>
      </c>
      <c r="O32" s="43">
        <v>50000</v>
      </c>
      <c r="P32" s="43">
        <v>0</v>
      </c>
      <c r="Q32" s="43">
        <v>9250</v>
      </c>
      <c r="R32" s="43">
        <v>3330</v>
      </c>
      <c r="S32" s="43">
        <v>0</v>
      </c>
      <c r="T32" s="43">
        <v>0</v>
      </c>
      <c r="U32" s="43">
        <v>1680</v>
      </c>
      <c r="V32" s="44">
        <f t="shared" si="2"/>
        <v>69460</v>
      </c>
      <c r="W32" s="44">
        <f t="shared" si="3"/>
        <v>108540</v>
      </c>
      <c r="X32" s="44">
        <f t="shared" si="4"/>
        <v>7800</v>
      </c>
      <c r="Y32" s="44">
        <f t="shared" si="5"/>
        <v>1950</v>
      </c>
      <c r="Z32" s="50" t="s">
        <v>183</v>
      </c>
      <c r="AA32" s="47" t="str">
        <f t="shared" si="6"/>
        <v>46174R A A S Ranasinghe</v>
      </c>
    </row>
    <row r="33" spans="1:27" ht="16.5" customHeight="1" thickTop="1" thickBot="1" x14ac:dyDescent="0.35">
      <c r="A33" s="35">
        <v>46174</v>
      </c>
      <c r="B33" t="s">
        <v>69</v>
      </c>
      <c r="C33">
        <v>10</v>
      </c>
      <c r="D33" t="s">
        <v>70</v>
      </c>
      <c r="E33" s="43">
        <v>26500</v>
      </c>
      <c r="F33" s="43">
        <v>3500</v>
      </c>
      <c r="G33" s="43">
        <v>5000</v>
      </c>
      <c r="H33" s="43">
        <v>0</v>
      </c>
      <c r="I33" s="43">
        <v>7000</v>
      </c>
      <c r="J33" s="43">
        <v>0</v>
      </c>
      <c r="K33" s="43">
        <v>1000</v>
      </c>
      <c r="L33" s="43">
        <v>1000</v>
      </c>
      <c r="M33" s="44">
        <f t="shared" si="0"/>
        <v>44000</v>
      </c>
      <c r="N33" s="44">
        <f t="shared" si="1"/>
        <v>2400</v>
      </c>
      <c r="O33" s="43">
        <v>0</v>
      </c>
      <c r="P33" s="43">
        <v>0</v>
      </c>
      <c r="Q33" s="43">
        <v>10000</v>
      </c>
      <c r="R33" s="43">
        <v>900</v>
      </c>
      <c r="S33" s="43">
        <v>0</v>
      </c>
      <c r="T33" s="43">
        <v>1000</v>
      </c>
      <c r="U33" s="43">
        <v>0</v>
      </c>
      <c r="V33" s="44">
        <f t="shared" si="2"/>
        <v>14300</v>
      </c>
      <c r="W33" s="44">
        <f t="shared" si="3"/>
        <v>29700</v>
      </c>
      <c r="X33" s="44">
        <f t="shared" si="4"/>
        <v>3600</v>
      </c>
      <c r="Y33" s="44">
        <f t="shared" si="5"/>
        <v>900</v>
      </c>
      <c r="Z33" s="50" t="s">
        <v>184</v>
      </c>
      <c r="AA33" s="47" t="str">
        <f t="shared" si="6"/>
        <v>46174P G U N Wimalasooriya</v>
      </c>
    </row>
    <row r="34" spans="1:27" ht="16.5" customHeight="1" thickTop="1" thickBot="1" x14ac:dyDescent="0.35">
      <c r="A34" s="35">
        <v>46174</v>
      </c>
      <c r="B34" t="s">
        <v>77</v>
      </c>
      <c r="C34">
        <v>16</v>
      </c>
      <c r="D34" t="s">
        <v>78</v>
      </c>
      <c r="E34" s="43">
        <v>41500</v>
      </c>
      <c r="F34" s="43">
        <v>3500</v>
      </c>
      <c r="G34" s="43">
        <v>17000</v>
      </c>
      <c r="H34" s="43">
        <v>8000</v>
      </c>
      <c r="I34" s="43">
        <v>30380</v>
      </c>
      <c r="J34" s="43">
        <v>0</v>
      </c>
      <c r="K34" s="43">
        <v>1000</v>
      </c>
      <c r="L34" s="43">
        <v>2242.5</v>
      </c>
      <c r="M34" s="44">
        <f t="shared" ref="M34:M65" si="7">SUM(E34:L34)</f>
        <v>103622.5</v>
      </c>
      <c r="N34" s="44">
        <f t="shared" ref="N34:N65" si="8">(E34+F34)*8%</f>
        <v>3600</v>
      </c>
      <c r="O34" s="43">
        <v>5000</v>
      </c>
      <c r="P34" s="43">
        <v>0</v>
      </c>
      <c r="Q34" s="43">
        <v>5000</v>
      </c>
      <c r="R34" s="43">
        <v>1200</v>
      </c>
      <c r="S34" s="43">
        <v>0</v>
      </c>
      <c r="T34" s="43">
        <v>2242.5</v>
      </c>
      <c r="U34" s="43">
        <v>0</v>
      </c>
      <c r="V34" s="44">
        <f t="shared" ref="V34:V65" si="9">SUM(N34:U34)</f>
        <v>17042.5</v>
      </c>
      <c r="W34" s="44">
        <f t="shared" ref="W34:W65" si="10">M34-V34</f>
        <v>86580</v>
      </c>
      <c r="X34" s="44">
        <f t="shared" ref="X34:X65" si="11">(E34+F34)*12%</f>
        <v>5400</v>
      </c>
      <c r="Y34" s="44">
        <f t="shared" ref="Y34:Y65" si="12">(E34+F34)*3%</f>
        <v>1350</v>
      </c>
      <c r="Z34" s="50" t="s">
        <v>185</v>
      </c>
      <c r="AA34" s="47" t="str">
        <f t="shared" ref="AA34:AA65" si="13">A34&amp;B34</f>
        <v>46174N M A G M Peiris</v>
      </c>
    </row>
    <row r="35" spans="1:27" ht="16.5" customHeight="1" thickTop="1" thickBot="1" x14ac:dyDescent="0.35">
      <c r="A35" s="35">
        <v>46174</v>
      </c>
      <c r="B35" t="s">
        <v>85</v>
      </c>
      <c r="C35">
        <v>17</v>
      </c>
      <c r="D35" t="s">
        <v>86</v>
      </c>
      <c r="E35" s="43">
        <v>31500</v>
      </c>
      <c r="F35" s="43">
        <v>3500</v>
      </c>
      <c r="G35" s="43">
        <v>7500</v>
      </c>
      <c r="H35" s="43">
        <v>5000</v>
      </c>
      <c r="I35" s="43">
        <v>30380</v>
      </c>
      <c r="J35" s="43">
        <v>10000</v>
      </c>
      <c r="K35" s="43">
        <v>1000</v>
      </c>
      <c r="L35" s="43">
        <v>1050</v>
      </c>
      <c r="M35" s="44">
        <f t="shared" si="7"/>
        <v>89930</v>
      </c>
      <c r="N35" s="44">
        <f t="shared" si="8"/>
        <v>2800</v>
      </c>
      <c r="O35" s="43">
        <v>8000</v>
      </c>
      <c r="P35" s="43">
        <v>0</v>
      </c>
      <c r="Q35" s="43">
        <v>10000</v>
      </c>
      <c r="R35" s="43">
        <v>900</v>
      </c>
      <c r="S35" s="43">
        <v>0</v>
      </c>
      <c r="T35" s="43">
        <v>1050</v>
      </c>
      <c r="U35" s="43">
        <v>0</v>
      </c>
      <c r="V35" s="44">
        <f t="shared" si="9"/>
        <v>22750</v>
      </c>
      <c r="W35" s="44">
        <f t="shared" si="10"/>
        <v>67180</v>
      </c>
      <c r="X35" s="44">
        <f t="shared" si="11"/>
        <v>4200</v>
      </c>
      <c r="Y35" s="44">
        <f t="shared" si="12"/>
        <v>1050</v>
      </c>
      <c r="Z35" s="50" t="s">
        <v>186</v>
      </c>
      <c r="AA35" s="47" t="str">
        <f t="shared" si="13"/>
        <v>46174K R T Hemantha</v>
      </c>
    </row>
    <row r="36" spans="1:27" ht="16.5" customHeight="1" thickTop="1" thickBot="1" x14ac:dyDescent="0.35">
      <c r="A36" s="35">
        <v>46174</v>
      </c>
      <c r="B36" t="s">
        <v>92</v>
      </c>
      <c r="C36">
        <v>18</v>
      </c>
      <c r="D36" t="s">
        <v>93</v>
      </c>
      <c r="E36" s="43">
        <v>51500</v>
      </c>
      <c r="F36" s="43">
        <v>3500</v>
      </c>
      <c r="G36" s="43">
        <v>21000</v>
      </c>
      <c r="H36" s="43">
        <v>0</v>
      </c>
      <c r="I36" s="43">
        <v>10000</v>
      </c>
      <c r="J36" s="43">
        <v>0</v>
      </c>
      <c r="K36" s="43">
        <v>1000</v>
      </c>
      <c r="L36" s="43">
        <v>1000</v>
      </c>
      <c r="M36" s="44">
        <f t="shared" si="7"/>
        <v>88000</v>
      </c>
      <c r="N36" s="44">
        <f t="shared" si="8"/>
        <v>4400</v>
      </c>
      <c r="O36" s="43">
        <v>0</v>
      </c>
      <c r="P36" s="43">
        <v>0</v>
      </c>
      <c r="Q36" s="43">
        <v>10000</v>
      </c>
      <c r="R36" s="43">
        <v>2100</v>
      </c>
      <c r="S36" s="43">
        <v>0</v>
      </c>
      <c r="T36" s="43">
        <v>1000</v>
      </c>
      <c r="U36" s="43">
        <v>0</v>
      </c>
      <c r="V36" s="44">
        <f t="shared" si="9"/>
        <v>17500</v>
      </c>
      <c r="W36" s="44">
        <f t="shared" si="10"/>
        <v>70500</v>
      </c>
      <c r="X36" s="44">
        <f t="shared" si="11"/>
        <v>6600</v>
      </c>
      <c r="Y36" s="44">
        <f t="shared" si="12"/>
        <v>1650</v>
      </c>
      <c r="Z36" s="50" t="s">
        <v>182</v>
      </c>
      <c r="AA36" s="47" t="str">
        <f t="shared" si="13"/>
        <v>46174W M H M Weerasinghe</v>
      </c>
    </row>
    <row r="37" spans="1:27" ht="16.5" customHeight="1" thickTop="1" thickBot="1" x14ac:dyDescent="0.35">
      <c r="A37" s="35">
        <v>46174</v>
      </c>
      <c r="B37" t="s">
        <v>99</v>
      </c>
      <c r="C37">
        <v>19</v>
      </c>
      <c r="D37" t="s">
        <v>86</v>
      </c>
      <c r="E37" s="43">
        <v>36500</v>
      </c>
      <c r="F37" s="43">
        <v>3500</v>
      </c>
      <c r="G37" s="43">
        <v>7500</v>
      </c>
      <c r="H37" s="43">
        <v>5000</v>
      </c>
      <c r="I37" s="43">
        <v>30380</v>
      </c>
      <c r="J37" s="43">
        <v>10000</v>
      </c>
      <c r="K37" s="43">
        <v>1000</v>
      </c>
      <c r="L37" s="43">
        <v>8500</v>
      </c>
      <c r="M37" s="44">
        <f t="shared" si="7"/>
        <v>102380</v>
      </c>
      <c r="N37" s="44">
        <f t="shared" si="8"/>
        <v>3200</v>
      </c>
      <c r="O37" s="43">
        <v>0</v>
      </c>
      <c r="P37" s="43">
        <v>0</v>
      </c>
      <c r="Q37" s="43">
        <v>8333.33</v>
      </c>
      <c r="R37" s="43">
        <v>1000</v>
      </c>
      <c r="S37" s="43">
        <v>0</v>
      </c>
      <c r="T37" s="43">
        <v>8500</v>
      </c>
      <c r="U37" s="43">
        <v>0</v>
      </c>
      <c r="V37" s="44">
        <f t="shared" si="9"/>
        <v>21033.33</v>
      </c>
      <c r="W37" s="44">
        <f t="shared" si="10"/>
        <v>81346.67</v>
      </c>
      <c r="X37" s="44">
        <f t="shared" si="11"/>
        <v>4800</v>
      </c>
      <c r="Y37" s="44">
        <f t="shared" si="12"/>
        <v>1200</v>
      </c>
      <c r="Z37" s="50" t="s">
        <v>187</v>
      </c>
      <c r="AA37" s="47" t="str">
        <f t="shared" si="13"/>
        <v>46174R W D S Wijerathna</v>
      </c>
    </row>
    <row r="38" spans="1:27" ht="16.5" customHeight="1" thickTop="1" thickBot="1" x14ac:dyDescent="0.35">
      <c r="A38" s="35">
        <v>46174</v>
      </c>
      <c r="B38" t="s">
        <v>103</v>
      </c>
      <c r="C38">
        <v>21</v>
      </c>
      <c r="D38" t="s">
        <v>104</v>
      </c>
      <c r="E38" s="43">
        <v>26500</v>
      </c>
      <c r="F38" s="43">
        <v>3500</v>
      </c>
      <c r="G38" s="43">
        <v>0</v>
      </c>
      <c r="H38" s="43">
        <v>0</v>
      </c>
      <c r="I38" s="43">
        <v>5000</v>
      </c>
      <c r="J38" s="43">
        <v>0</v>
      </c>
      <c r="K38" s="43">
        <v>1000</v>
      </c>
      <c r="L38" s="43">
        <v>1000</v>
      </c>
      <c r="M38" s="44">
        <f t="shared" si="7"/>
        <v>37000</v>
      </c>
      <c r="N38" s="44">
        <f t="shared" si="8"/>
        <v>2400</v>
      </c>
      <c r="O38" s="43">
        <v>10000</v>
      </c>
      <c r="P38" s="43">
        <v>0</v>
      </c>
      <c r="Q38" s="43">
        <v>6000</v>
      </c>
      <c r="R38" s="43">
        <v>540</v>
      </c>
      <c r="S38" s="43">
        <v>0</v>
      </c>
      <c r="T38" s="43">
        <v>1000</v>
      </c>
      <c r="U38" s="43">
        <v>0</v>
      </c>
      <c r="V38" s="44">
        <f t="shared" si="9"/>
        <v>19940</v>
      </c>
      <c r="W38" s="44">
        <f t="shared" si="10"/>
        <v>17060</v>
      </c>
      <c r="X38" s="44">
        <f t="shared" si="11"/>
        <v>3600</v>
      </c>
      <c r="Y38" s="44">
        <f t="shared" si="12"/>
        <v>900</v>
      </c>
      <c r="Z38" s="50" t="s">
        <v>180</v>
      </c>
      <c r="AA38" s="47" t="str">
        <f t="shared" si="13"/>
        <v>46174S Wathmi Sankalpana</v>
      </c>
    </row>
    <row r="39" spans="1:27" ht="16.5" customHeight="1" thickTop="1" thickBot="1" x14ac:dyDescent="0.35">
      <c r="A39" s="35">
        <v>46174</v>
      </c>
      <c r="B39" t="s">
        <v>110</v>
      </c>
      <c r="C39">
        <v>22</v>
      </c>
      <c r="D39" t="s">
        <v>111</v>
      </c>
      <c r="E39" s="43">
        <v>26500</v>
      </c>
      <c r="F39" s="43">
        <v>3500</v>
      </c>
      <c r="G39" s="43">
        <v>5000</v>
      </c>
      <c r="H39" s="43">
        <v>2760</v>
      </c>
      <c r="I39" s="43">
        <v>26040</v>
      </c>
      <c r="J39" s="43">
        <v>10000</v>
      </c>
      <c r="K39" s="43">
        <v>1000</v>
      </c>
      <c r="L39" s="43">
        <v>4850</v>
      </c>
      <c r="M39" s="44">
        <f t="shared" si="7"/>
        <v>79650</v>
      </c>
      <c r="N39" s="44">
        <f t="shared" si="8"/>
        <v>2400</v>
      </c>
      <c r="O39" s="43">
        <v>0</v>
      </c>
      <c r="P39" s="43">
        <v>0</v>
      </c>
      <c r="Q39" s="43">
        <v>5000</v>
      </c>
      <c r="R39" s="43">
        <v>2100</v>
      </c>
      <c r="S39" s="43">
        <v>0</v>
      </c>
      <c r="T39" s="43">
        <v>4850</v>
      </c>
      <c r="U39" s="43">
        <v>0</v>
      </c>
      <c r="V39" s="44">
        <f t="shared" si="9"/>
        <v>14350</v>
      </c>
      <c r="W39" s="44">
        <f t="shared" si="10"/>
        <v>65300</v>
      </c>
      <c r="X39" s="44">
        <f t="shared" si="11"/>
        <v>3600</v>
      </c>
      <c r="Y39" s="44">
        <f t="shared" si="12"/>
        <v>900</v>
      </c>
      <c r="Z39" s="50" t="s">
        <v>188</v>
      </c>
      <c r="AA39" s="47" t="str">
        <f t="shared" si="13"/>
        <v>46174E M P P W O R K Jayawardana</v>
      </c>
    </row>
    <row r="40" spans="1:27" ht="16.5" customHeight="1" thickTop="1" thickBot="1" x14ac:dyDescent="0.35">
      <c r="A40" s="35">
        <v>46174</v>
      </c>
      <c r="B40" t="s">
        <v>116</v>
      </c>
      <c r="C40">
        <v>23</v>
      </c>
      <c r="D40" t="s">
        <v>111</v>
      </c>
      <c r="E40" s="43">
        <v>26500</v>
      </c>
      <c r="F40" s="43">
        <v>3500</v>
      </c>
      <c r="G40" s="43">
        <v>7000</v>
      </c>
      <c r="H40" s="43">
        <v>5000</v>
      </c>
      <c r="I40" s="43">
        <v>26040</v>
      </c>
      <c r="J40" s="43">
        <v>0</v>
      </c>
      <c r="K40" s="43">
        <v>1000</v>
      </c>
      <c r="L40" s="43">
        <v>3420</v>
      </c>
      <c r="M40" s="44">
        <f t="shared" si="7"/>
        <v>72460</v>
      </c>
      <c r="N40" s="44">
        <f t="shared" si="8"/>
        <v>2400</v>
      </c>
      <c r="O40" s="43">
        <v>6000</v>
      </c>
      <c r="P40" s="43">
        <v>0</v>
      </c>
      <c r="Q40" s="43">
        <v>10000</v>
      </c>
      <c r="R40" s="43">
        <v>600</v>
      </c>
      <c r="S40" s="43">
        <v>0</v>
      </c>
      <c r="T40" s="43">
        <v>3420</v>
      </c>
      <c r="U40" s="43">
        <v>0</v>
      </c>
      <c r="V40" s="44">
        <f t="shared" si="9"/>
        <v>22420</v>
      </c>
      <c r="W40" s="44">
        <f t="shared" si="10"/>
        <v>50040</v>
      </c>
      <c r="X40" s="44">
        <f t="shared" si="11"/>
        <v>3600</v>
      </c>
      <c r="Y40" s="44">
        <f t="shared" si="12"/>
        <v>900</v>
      </c>
      <c r="Z40" s="50" t="s">
        <v>189</v>
      </c>
      <c r="AA40" s="47" t="str">
        <f t="shared" si="13"/>
        <v>46174T M R L B Thennakoon</v>
      </c>
    </row>
    <row r="41" spans="1:27" ht="16.5" customHeight="1" thickTop="1" thickBot="1" x14ac:dyDescent="0.35">
      <c r="A41" s="35">
        <v>46174</v>
      </c>
      <c r="B41" t="s">
        <v>121</v>
      </c>
      <c r="C41">
        <v>24</v>
      </c>
      <c r="D41" t="s">
        <v>86</v>
      </c>
      <c r="E41" s="43">
        <v>31500</v>
      </c>
      <c r="F41" s="43">
        <v>3500</v>
      </c>
      <c r="G41" s="43">
        <v>7500</v>
      </c>
      <c r="H41" s="43">
        <v>5000</v>
      </c>
      <c r="I41" s="43">
        <v>26040</v>
      </c>
      <c r="J41" s="43">
        <v>0</v>
      </c>
      <c r="K41" s="43">
        <v>1000</v>
      </c>
      <c r="L41" s="43">
        <v>6085</v>
      </c>
      <c r="M41" s="44">
        <f t="shared" si="7"/>
        <v>80625</v>
      </c>
      <c r="N41" s="44">
        <f t="shared" si="8"/>
        <v>2800</v>
      </c>
      <c r="O41" s="43">
        <v>10000</v>
      </c>
      <c r="P41" s="43">
        <v>0</v>
      </c>
      <c r="Q41" s="43">
        <v>0</v>
      </c>
      <c r="R41" s="43">
        <v>0</v>
      </c>
      <c r="S41" s="43">
        <v>0</v>
      </c>
      <c r="T41" s="43">
        <v>6085</v>
      </c>
      <c r="U41" s="43">
        <v>0</v>
      </c>
      <c r="V41" s="44">
        <f t="shared" si="9"/>
        <v>18885</v>
      </c>
      <c r="W41" s="44">
        <f t="shared" si="10"/>
        <v>61740</v>
      </c>
      <c r="X41" s="44">
        <f t="shared" si="11"/>
        <v>4200</v>
      </c>
      <c r="Y41" s="44">
        <f t="shared" si="12"/>
        <v>1050</v>
      </c>
      <c r="Z41" s="50"/>
      <c r="AA41" s="47" t="str">
        <f t="shared" si="13"/>
        <v>46174W K Senaverathna</v>
      </c>
    </row>
    <row r="42" spans="1:27" ht="16.5" customHeight="1" thickTop="1" thickBot="1" x14ac:dyDescent="0.35">
      <c r="A42" s="35">
        <v>46174</v>
      </c>
      <c r="B42" t="s">
        <v>127</v>
      </c>
      <c r="C42">
        <v>25</v>
      </c>
      <c r="D42" t="s">
        <v>86</v>
      </c>
      <c r="E42" s="43">
        <v>36500</v>
      </c>
      <c r="F42" s="43">
        <v>3500</v>
      </c>
      <c r="G42" s="43">
        <v>5000</v>
      </c>
      <c r="H42" s="43">
        <v>5000</v>
      </c>
      <c r="I42" s="43">
        <v>28210</v>
      </c>
      <c r="J42" s="43">
        <v>10000</v>
      </c>
      <c r="K42" s="43">
        <v>1000</v>
      </c>
      <c r="L42" s="43">
        <v>4600</v>
      </c>
      <c r="M42" s="44">
        <f t="shared" si="7"/>
        <v>93810</v>
      </c>
      <c r="N42" s="44">
        <f t="shared" si="8"/>
        <v>3200</v>
      </c>
      <c r="O42" s="43">
        <v>20000</v>
      </c>
      <c r="P42" s="43">
        <v>0</v>
      </c>
      <c r="Q42" s="43">
        <v>10000</v>
      </c>
      <c r="R42" s="43">
        <v>1500</v>
      </c>
      <c r="S42" s="43">
        <v>0</v>
      </c>
      <c r="T42" s="43">
        <v>4600</v>
      </c>
      <c r="U42" s="43">
        <v>0</v>
      </c>
      <c r="V42" s="44">
        <f t="shared" si="9"/>
        <v>39300</v>
      </c>
      <c r="W42" s="44">
        <f t="shared" si="10"/>
        <v>54510</v>
      </c>
      <c r="X42" s="44">
        <f t="shared" si="11"/>
        <v>4800</v>
      </c>
      <c r="Y42" s="44">
        <f t="shared" si="12"/>
        <v>1200</v>
      </c>
      <c r="Z42" s="50" t="s">
        <v>190</v>
      </c>
      <c r="AA42" s="47" t="str">
        <f t="shared" si="13"/>
        <v>46174D R G S L Ranaweera</v>
      </c>
    </row>
    <row r="43" spans="1:27" ht="16.5" customHeight="1" thickTop="1" thickBot="1" x14ac:dyDescent="0.35">
      <c r="A43" s="35">
        <v>46174</v>
      </c>
      <c r="B43" t="s">
        <v>132</v>
      </c>
      <c r="C43">
        <v>26</v>
      </c>
      <c r="D43" t="s">
        <v>104</v>
      </c>
      <c r="E43" s="43">
        <v>26500</v>
      </c>
      <c r="F43" s="43">
        <v>3500</v>
      </c>
      <c r="G43" s="43">
        <v>0</v>
      </c>
      <c r="H43" s="43">
        <v>0</v>
      </c>
      <c r="I43" s="43">
        <v>0</v>
      </c>
      <c r="J43" s="43">
        <v>0</v>
      </c>
      <c r="K43" s="43">
        <v>1000</v>
      </c>
      <c r="L43" s="43">
        <v>1000</v>
      </c>
      <c r="M43" s="44">
        <f t="shared" si="7"/>
        <v>32000</v>
      </c>
      <c r="N43" s="44">
        <f t="shared" si="8"/>
        <v>2400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1000</v>
      </c>
      <c r="U43" s="43">
        <v>0</v>
      </c>
      <c r="V43" s="44">
        <f t="shared" si="9"/>
        <v>3400</v>
      </c>
      <c r="W43" s="44">
        <f t="shared" si="10"/>
        <v>28600</v>
      </c>
      <c r="X43" s="44">
        <f t="shared" si="11"/>
        <v>3600</v>
      </c>
      <c r="Y43" s="44">
        <f t="shared" si="12"/>
        <v>900</v>
      </c>
      <c r="Z43" s="50"/>
      <c r="AA43" s="47" t="str">
        <f t="shared" si="13"/>
        <v>46174W A A Heshani Bandara</v>
      </c>
    </row>
    <row r="44" spans="1:27" ht="16.5" customHeight="1" thickTop="1" thickBot="1" x14ac:dyDescent="0.35">
      <c r="A44" s="35">
        <v>46174</v>
      </c>
      <c r="B44" t="s">
        <v>8</v>
      </c>
      <c r="C44">
        <v>27</v>
      </c>
      <c r="D44" t="s">
        <v>111</v>
      </c>
      <c r="E44" s="43">
        <v>26500</v>
      </c>
      <c r="F44" s="43">
        <v>3500</v>
      </c>
      <c r="G44" s="43">
        <v>2500</v>
      </c>
      <c r="H44" s="43">
        <v>2500</v>
      </c>
      <c r="I44" s="43">
        <v>21700</v>
      </c>
      <c r="J44" s="43">
        <v>10000</v>
      </c>
      <c r="K44" s="43">
        <v>1000</v>
      </c>
      <c r="L44" s="43">
        <v>6835</v>
      </c>
      <c r="M44" s="44">
        <f t="shared" si="7"/>
        <v>74535</v>
      </c>
      <c r="N44" s="44">
        <f t="shared" si="8"/>
        <v>2400</v>
      </c>
      <c r="O44" s="43">
        <v>15000</v>
      </c>
      <c r="P44" s="43">
        <v>0</v>
      </c>
      <c r="Q44" s="43">
        <v>10000</v>
      </c>
      <c r="R44" s="43">
        <v>1800</v>
      </c>
      <c r="S44" s="43">
        <v>0</v>
      </c>
      <c r="T44" s="43">
        <v>6835</v>
      </c>
      <c r="U44" s="43">
        <v>0</v>
      </c>
      <c r="V44" s="44">
        <f t="shared" si="9"/>
        <v>36035</v>
      </c>
      <c r="W44" s="44">
        <f t="shared" si="10"/>
        <v>38500</v>
      </c>
      <c r="X44" s="44">
        <f t="shared" si="11"/>
        <v>3600</v>
      </c>
      <c r="Y44" s="44">
        <f t="shared" si="12"/>
        <v>900</v>
      </c>
      <c r="Z44" s="50" t="s">
        <v>191</v>
      </c>
      <c r="AA44" s="47" t="str">
        <f t="shared" si="13"/>
        <v>46174D M T S Disanayake</v>
      </c>
    </row>
    <row r="45" spans="1:27" ht="16.5" customHeight="1" thickTop="1" thickBot="1" x14ac:dyDescent="0.35">
      <c r="A45" s="35">
        <v>46174</v>
      </c>
      <c r="B45" t="s">
        <v>141</v>
      </c>
      <c r="C45">
        <v>28</v>
      </c>
      <c r="D45" t="s">
        <v>86</v>
      </c>
      <c r="E45" s="43">
        <v>36500</v>
      </c>
      <c r="F45" s="43">
        <v>3500</v>
      </c>
      <c r="G45" s="43">
        <v>5000</v>
      </c>
      <c r="H45" s="43">
        <v>5000</v>
      </c>
      <c r="I45" s="43">
        <v>28210</v>
      </c>
      <c r="J45" s="43">
        <v>10000</v>
      </c>
      <c r="K45" s="43">
        <v>1000</v>
      </c>
      <c r="L45" s="43">
        <v>3580</v>
      </c>
      <c r="M45" s="44">
        <f t="shared" si="7"/>
        <v>92790</v>
      </c>
      <c r="N45" s="44">
        <f t="shared" si="8"/>
        <v>3200</v>
      </c>
      <c r="O45" s="43">
        <v>10500</v>
      </c>
      <c r="P45" s="43">
        <v>0</v>
      </c>
      <c r="Q45" s="43">
        <v>0</v>
      </c>
      <c r="R45" s="43">
        <v>0</v>
      </c>
      <c r="S45" s="43">
        <v>0</v>
      </c>
      <c r="T45" s="43">
        <v>3580</v>
      </c>
      <c r="U45" s="43">
        <v>0</v>
      </c>
      <c r="V45" s="44">
        <f t="shared" si="9"/>
        <v>17280</v>
      </c>
      <c r="W45" s="44">
        <f t="shared" si="10"/>
        <v>75510</v>
      </c>
      <c r="X45" s="44">
        <f t="shared" si="11"/>
        <v>4800</v>
      </c>
      <c r="Y45" s="44">
        <f t="shared" si="12"/>
        <v>1200</v>
      </c>
      <c r="Z45" s="50"/>
      <c r="AA45" s="47" t="str">
        <f t="shared" si="13"/>
        <v>46174P L D B Wijewardhna</v>
      </c>
    </row>
    <row r="46" spans="1:27" ht="16.5" customHeight="1" thickTop="1" thickBot="1" x14ac:dyDescent="0.35">
      <c r="A46" s="35">
        <v>46174</v>
      </c>
      <c r="B46" t="s">
        <v>146</v>
      </c>
      <c r="C46">
        <v>29</v>
      </c>
      <c r="D46" t="s">
        <v>111</v>
      </c>
      <c r="E46" s="43">
        <v>26500</v>
      </c>
      <c r="F46" s="43">
        <v>3500</v>
      </c>
      <c r="G46" s="43">
        <v>5000</v>
      </c>
      <c r="H46" s="43">
        <v>5000</v>
      </c>
      <c r="I46" s="43">
        <v>17360</v>
      </c>
      <c r="J46" s="43">
        <v>0</v>
      </c>
      <c r="K46" s="43">
        <v>1000</v>
      </c>
      <c r="L46" s="43">
        <v>0</v>
      </c>
      <c r="M46" s="44">
        <f t="shared" si="7"/>
        <v>58360</v>
      </c>
      <c r="N46" s="44">
        <f t="shared" si="8"/>
        <v>2400</v>
      </c>
      <c r="O46" s="43">
        <v>5000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4">
        <f t="shared" si="9"/>
        <v>7400</v>
      </c>
      <c r="W46" s="44">
        <f t="shared" si="10"/>
        <v>50960</v>
      </c>
      <c r="X46" s="44">
        <f t="shared" si="11"/>
        <v>3600</v>
      </c>
      <c r="Y46" s="44">
        <f t="shared" si="12"/>
        <v>900</v>
      </c>
      <c r="Z46" s="50"/>
      <c r="AA46" s="47" t="str">
        <f t="shared" si="13"/>
        <v>46174N G L D Supunsiri</v>
      </c>
    </row>
    <row r="47" spans="1:27" ht="16.5" customHeight="1" thickTop="1" thickBot="1" x14ac:dyDescent="0.35">
      <c r="A47" s="35">
        <v>46204</v>
      </c>
      <c r="B47" t="s">
        <v>60</v>
      </c>
      <c r="C47">
        <v>5</v>
      </c>
      <c r="D47" t="s">
        <v>61</v>
      </c>
      <c r="E47" s="43">
        <v>61500</v>
      </c>
      <c r="F47" s="43">
        <v>3500</v>
      </c>
      <c r="G47" s="43">
        <v>53000</v>
      </c>
      <c r="H47" s="43">
        <v>0</v>
      </c>
      <c r="I47" s="43">
        <v>29000</v>
      </c>
      <c r="J47" s="43">
        <v>30000</v>
      </c>
      <c r="K47" s="43">
        <v>1000</v>
      </c>
      <c r="L47" s="43">
        <v>0</v>
      </c>
      <c r="M47" s="44">
        <f t="shared" si="7"/>
        <v>178000</v>
      </c>
      <c r="N47" s="44">
        <f t="shared" si="8"/>
        <v>5200</v>
      </c>
      <c r="O47" s="43">
        <v>100000</v>
      </c>
      <c r="P47" s="43">
        <v>0</v>
      </c>
      <c r="Q47" s="43">
        <v>9250</v>
      </c>
      <c r="R47" s="43">
        <v>3145</v>
      </c>
      <c r="S47" s="43">
        <v>0</v>
      </c>
      <c r="T47" s="43">
        <v>0</v>
      </c>
      <c r="U47" s="43">
        <v>1680</v>
      </c>
      <c r="V47" s="44">
        <f t="shared" si="9"/>
        <v>119275</v>
      </c>
      <c r="W47" s="44">
        <f t="shared" si="10"/>
        <v>58725</v>
      </c>
      <c r="X47" s="44">
        <f t="shared" si="11"/>
        <v>7800</v>
      </c>
      <c r="Y47" s="44">
        <f t="shared" si="12"/>
        <v>1950</v>
      </c>
      <c r="Z47" s="50" t="s">
        <v>192</v>
      </c>
      <c r="AA47" s="47" t="str">
        <f t="shared" si="13"/>
        <v>46204R A A S Ranasinghe</v>
      </c>
    </row>
    <row r="48" spans="1:27" ht="16.5" customHeight="1" thickTop="1" thickBot="1" x14ac:dyDescent="0.35">
      <c r="A48" s="35">
        <v>46204</v>
      </c>
      <c r="B48" t="s">
        <v>69</v>
      </c>
      <c r="C48">
        <v>10</v>
      </c>
      <c r="D48" t="s">
        <v>70</v>
      </c>
      <c r="E48" s="43">
        <v>26500</v>
      </c>
      <c r="F48" s="43">
        <v>3500</v>
      </c>
      <c r="G48" s="43">
        <v>5000</v>
      </c>
      <c r="H48" s="43">
        <v>0</v>
      </c>
      <c r="I48" s="43">
        <v>7000</v>
      </c>
      <c r="J48" s="43">
        <v>0</v>
      </c>
      <c r="K48" s="43">
        <v>1000</v>
      </c>
      <c r="L48" s="43">
        <v>2000</v>
      </c>
      <c r="M48" s="44">
        <f t="shared" si="7"/>
        <v>45000</v>
      </c>
      <c r="N48" s="44">
        <f t="shared" si="8"/>
        <v>2400</v>
      </c>
      <c r="O48" s="43">
        <v>16000</v>
      </c>
      <c r="P48" s="43">
        <v>0</v>
      </c>
      <c r="Q48" s="43">
        <v>10000</v>
      </c>
      <c r="R48" s="43">
        <v>600</v>
      </c>
      <c r="S48" s="43">
        <v>0</v>
      </c>
      <c r="T48" s="43">
        <v>2000</v>
      </c>
      <c r="U48" s="43">
        <v>0</v>
      </c>
      <c r="V48" s="44">
        <f t="shared" si="9"/>
        <v>31000</v>
      </c>
      <c r="W48" s="44">
        <f t="shared" si="10"/>
        <v>14000</v>
      </c>
      <c r="X48" s="44">
        <f t="shared" si="11"/>
        <v>3600</v>
      </c>
      <c r="Y48" s="44">
        <f t="shared" si="12"/>
        <v>900</v>
      </c>
      <c r="Z48" s="50" t="s">
        <v>165</v>
      </c>
      <c r="AA48" s="47" t="str">
        <f t="shared" si="13"/>
        <v>46204P G U N Wimalasooriya</v>
      </c>
    </row>
    <row r="49" spans="1:27" ht="16.5" customHeight="1" thickTop="1" thickBot="1" x14ac:dyDescent="0.35">
      <c r="A49" s="35">
        <v>46204</v>
      </c>
      <c r="B49" t="s">
        <v>77</v>
      </c>
      <c r="C49">
        <v>16</v>
      </c>
      <c r="D49" t="s">
        <v>78</v>
      </c>
      <c r="E49" s="43">
        <v>41500</v>
      </c>
      <c r="F49" s="43">
        <v>3500</v>
      </c>
      <c r="G49" s="43">
        <v>17000</v>
      </c>
      <c r="H49" s="43">
        <v>8000</v>
      </c>
      <c r="I49" s="43">
        <v>28980</v>
      </c>
      <c r="J49" s="43">
        <v>0</v>
      </c>
      <c r="K49" s="43">
        <v>1000</v>
      </c>
      <c r="L49" s="43">
        <v>5085</v>
      </c>
      <c r="M49" s="44">
        <f t="shared" si="7"/>
        <v>105065</v>
      </c>
      <c r="N49" s="44">
        <f t="shared" si="8"/>
        <v>3600</v>
      </c>
      <c r="O49" s="43">
        <v>15000</v>
      </c>
      <c r="P49" s="43">
        <v>0</v>
      </c>
      <c r="Q49" s="43">
        <v>5000</v>
      </c>
      <c r="R49" s="43">
        <v>1050</v>
      </c>
      <c r="S49" s="43">
        <v>0</v>
      </c>
      <c r="T49" s="43">
        <v>5085</v>
      </c>
      <c r="U49" s="43">
        <v>0</v>
      </c>
      <c r="V49" s="44">
        <f t="shared" si="9"/>
        <v>29735</v>
      </c>
      <c r="W49" s="44">
        <f t="shared" si="10"/>
        <v>75330</v>
      </c>
      <c r="X49" s="44">
        <f t="shared" si="11"/>
        <v>5400</v>
      </c>
      <c r="Y49" s="44">
        <f t="shared" si="12"/>
        <v>1350</v>
      </c>
      <c r="Z49" s="50" t="s">
        <v>193</v>
      </c>
      <c r="AA49" s="47" t="str">
        <f t="shared" si="13"/>
        <v>46204N M A G M Peiris</v>
      </c>
    </row>
    <row r="50" spans="1:27" ht="16.5" customHeight="1" thickTop="1" thickBot="1" x14ac:dyDescent="0.35">
      <c r="A50" s="35">
        <v>46204</v>
      </c>
      <c r="B50" t="s">
        <v>85</v>
      </c>
      <c r="C50">
        <v>17</v>
      </c>
      <c r="D50" t="s">
        <v>86</v>
      </c>
      <c r="E50" s="43">
        <v>31500</v>
      </c>
      <c r="F50" s="43">
        <v>3500</v>
      </c>
      <c r="G50" s="43">
        <v>7500</v>
      </c>
      <c r="H50" s="43">
        <v>5000</v>
      </c>
      <c r="I50" s="43">
        <v>28980</v>
      </c>
      <c r="J50" s="43">
        <v>10000</v>
      </c>
      <c r="K50" s="43">
        <v>1000</v>
      </c>
      <c r="L50" s="43">
        <v>3050</v>
      </c>
      <c r="M50" s="44">
        <f t="shared" si="7"/>
        <v>90530</v>
      </c>
      <c r="N50" s="44">
        <f t="shared" si="8"/>
        <v>2800</v>
      </c>
      <c r="O50" s="43">
        <v>12000</v>
      </c>
      <c r="P50" s="43">
        <v>0</v>
      </c>
      <c r="Q50" s="43">
        <v>10000</v>
      </c>
      <c r="R50" s="43">
        <v>600</v>
      </c>
      <c r="S50" s="43">
        <v>0</v>
      </c>
      <c r="T50" s="43">
        <v>3050</v>
      </c>
      <c r="U50" s="43">
        <v>0</v>
      </c>
      <c r="V50" s="44">
        <f t="shared" si="9"/>
        <v>28450</v>
      </c>
      <c r="W50" s="44">
        <f t="shared" si="10"/>
        <v>62080</v>
      </c>
      <c r="X50" s="44">
        <f t="shared" si="11"/>
        <v>4200</v>
      </c>
      <c r="Y50" s="44">
        <f t="shared" si="12"/>
        <v>1050</v>
      </c>
      <c r="Z50" s="50" t="s">
        <v>194</v>
      </c>
      <c r="AA50" s="47" t="str">
        <f t="shared" si="13"/>
        <v>46204K R T Hemantha</v>
      </c>
    </row>
    <row r="51" spans="1:27" ht="16.5" customHeight="1" thickTop="1" thickBot="1" x14ac:dyDescent="0.35">
      <c r="A51" s="35">
        <v>46204</v>
      </c>
      <c r="B51" t="s">
        <v>92</v>
      </c>
      <c r="C51">
        <v>18</v>
      </c>
      <c r="D51" t="s">
        <v>93</v>
      </c>
      <c r="E51" s="43">
        <v>51500</v>
      </c>
      <c r="F51" s="43">
        <v>3500</v>
      </c>
      <c r="G51" s="43">
        <v>21000</v>
      </c>
      <c r="H51" s="43">
        <v>0</v>
      </c>
      <c r="I51" s="43">
        <v>10000</v>
      </c>
      <c r="J51" s="43">
        <v>0</v>
      </c>
      <c r="K51" s="43">
        <v>1000</v>
      </c>
      <c r="L51" s="43">
        <v>2000</v>
      </c>
      <c r="M51" s="44">
        <f t="shared" si="7"/>
        <v>89000</v>
      </c>
      <c r="N51" s="44">
        <f t="shared" si="8"/>
        <v>4400</v>
      </c>
      <c r="O51" s="43">
        <v>0</v>
      </c>
      <c r="P51" s="43">
        <v>0</v>
      </c>
      <c r="Q51" s="43">
        <v>10000</v>
      </c>
      <c r="R51" s="43">
        <v>1800</v>
      </c>
      <c r="S51" s="43">
        <v>0</v>
      </c>
      <c r="T51" s="43">
        <v>2000</v>
      </c>
      <c r="U51" s="43">
        <v>0</v>
      </c>
      <c r="V51" s="44">
        <f t="shared" si="9"/>
        <v>18200</v>
      </c>
      <c r="W51" s="44">
        <f t="shared" si="10"/>
        <v>70800</v>
      </c>
      <c r="X51" s="44">
        <f t="shared" si="11"/>
        <v>6600</v>
      </c>
      <c r="Y51" s="44">
        <f t="shared" si="12"/>
        <v>1650</v>
      </c>
      <c r="Z51" s="50" t="s">
        <v>191</v>
      </c>
      <c r="AA51" s="47" t="str">
        <f t="shared" si="13"/>
        <v>46204W M H M Weerasinghe</v>
      </c>
    </row>
    <row r="52" spans="1:27" ht="16.5" customHeight="1" thickTop="1" thickBot="1" x14ac:dyDescent="0.35">
      <c r="A52" s="35">
        <v>46204</v>
      </c>
      <c r="B52" t="s">
        <v>99</v>
      </c>
      <c r="C52">
        <v>19</v>
      </c>
      <c r="D52" t="s">
        <v>86</v>
      </c>
      <c r="E52" s="43">
        <v>36500</v>
      </c>
      <c r="F52" s="43">
        <v>3500</v>
      </c>
      <c r="G52" s="43">
        <v>7500</v>
      </c>
      <c r="H52" s="43">
        <v>5000</v>
      </c>
      <c r="I52" s="43">
        <v>28980</v>
      </c>
      <c r="J52" s="43">
        <v>10000</v>
      </c>
      <c r="K52" s="43">
        <v>1000</v>
      </c>
      <c r="L52" s="43">
        <v>10000</v>
      </c>
      <c r="M52" s="44">
        <f t="shared" si="7"/>
        <v>102480</v>
      </c>
      <c r="N52" s="44">
        <f t="shared" si="8"/>
        <v>3200</v>
      </c>
      <c r="O52" s="43">
        <v>0</v>
      </c>
      <c r="P52" s="43">
        <v>0</v>
      </c>
      <c r="Q52" s="43">
        <v>8333.33</v>
      </c>
      <c r="R52" s="43">
        <v>750</v>
      </c>
      <c r="S52" s="43">
        <v>0</v>
      </c>
      <c r="T52" s="43">
        <v>10000</v>
      </c>
      <c r="U52" s="43">
        <v>0</v>
      </c>
      <c r="V52" s="44">
        <f t="shared" si="9"/>
        <v>22283.33</v>
      </c>
      <c r="W52" s="44">
        <f t="shared" si="10"/>
        <v>80196.67</v>
      </c>
      <c r="X52" s="44">
        <f t="shared" si="11"/>
        <v>4800</v>
      </c>
      <c r="Y52" s="44">
        <f t="shared" si="12"/>
        <v>1200</v>
      </c>
      <c r="Z52" s="50" t="s">
        <v>195</v>
      </c>
      <c r="AA52" s="47" t="str">
        <f t="shared" si="13"/>
        <v>46204R W D S Wijerathna</v>
      </c>
    </row>
    <row r="53" spans="1:27" ht="16.5" customHeight="1" thickTop="1" thickBot="1" x14ac:dyDescent="0.35">
      <c r="A53" s="35">
        <v>46204</v>
      </c>
      <c r="B53" t="s">
        <v>103</v>
      </c>
      <c r="C53">
        <v>21</v>
      </c>
      <c r="D53" t="s">
        <v>104</v>
      </c>
      <c r="E53" s="43">
        <v>26500</v>
      </c>
      <c r="F53" s="43">
        <v>3500</v>
      </c>
      <c r="G53" s="43">
        <v>0</v>
      </c>
      <c r="H53" s="43">
        <v>0</v>
      </c>
      <c r="I53" s="43">
        <v>5000</v>
      </c>
      <c r="J53" s="43">
        <v>0</v>
      </c>
      <c r="K53" s="43">
        <v>1000</v>
      </c>
      <c r="L53" s="43">
        <v>2000</v>
      </c>
      <c r="M53" s="44">
        <f t="shared" si="7"/>
        <v>38000</v>
      </c>
      <c r="N53" s="44">
        <f t="shared" si="8"/>
        <v>2400</v>
      </c>
      <c r="O53" s="43">
        <v>10000</v>
      </c>
      <c r="P53" s="43">
        <v>0</v>
      </c>
      <c r="Q53" s="43">
        <v>6000</v>
      </c>
      <c r="R53" s="43">
        <v>360</v>
      </c>
      <c r="S53" s="43">
        <v>0</v>
      </c>
      <c r="T53" s="43">
        <v>2000</v>
      </c>
      <c r="U53" s="43">
        <v>0</v>
      </c>
      <c r="V53" s="44">
        <f t="shared" si="9"/>
        <v>20760</v>
      </c>
      <c r="W53" s="44">
        <f t="shared" si="10"/>
        <v>17240</v>
      </c>
      <c r="X53" s="44">
        <f t="shared" si="11"/>
        <v>3600</v>
      </c>
      <c r="Y53" s="44">
        <f t="shared" si="12"/>
        <v>900</v>
      </c>
      <c r="Z53" s="50" t="s">
        <v>189</v>
      </c>
      <c r="AA53" s="47" t="str">
        <f t="shared" si="13"/>
        <v>46204S Wathmi Sankalpana</v>
      </c>
    </row>
    <row r="54" spans="1:27" ht="16.5" customHeight="1" thickTop="1" thickBot="1" x14ac:dyDescent="0.35">
      <c r="A54" s="35">
        <v>46204</v>
      </c>
      <c r="B54" t="s">
        <v>110</v>
      </c>
      <c r="C54">
        <v>22</v>
      </c>
      <c r="D54" t="s">
        <v>111</v>
      </c>
      <c r="E54" s="43">
        <v>26500</v>
      </c>
      <c r="F54" s="43">
        <v>3500</v>
      </c>
      <c r="G54" s="43">
        <v>5000</v>
      </c>
      <c r="H54" s="43">
        <v>2760</v>
      </c>
      <c r="I54" s="43">
        <v>26910</v>
      </c>
      <c r="J54" s="43">
        <v>10000</v>
      </c>
      <c r="K54" s="43">
        <v>1000</v>
      </c>
      <c r="L54" s="43">
        <v>8380</v>
      </c>
      <c r="M54" s="44">
        <f t="shared" si="7"/>
        <v>84050</v>
      </c>
      <c r="N54" s="44">
        <f t="shared" si="8"/>
        <v>2400</v>
      </c>
      <c r="O54" s="43">
        <v>5000</v>
      </c>
      <c r="P54" s="43">
        <v>0</v>
      </c>
      <c r="Q54" s="43">
        <v>5000</v>
      </c>
      <c r="R54" s="43">
        <v>1950</v>
      </c>
      <c r="S54" s="43">
        <v>0</v>
      </c>
      <c r="T54" s="43">
        <v>8380</v>
      </c>
      <c r="U54" s="43">
        <v>0</v>
      </c>
      <c r="V54" s="44">
        <f t="shared" si="9"/>
        <v>22730</v>
      </c>
      <c r="W54" s="44">
        <f t="shared" si="10"/>
        <v>61320</v>
      </c>
      <c r="X54" s="44">
        <f t="shared" si="11"/>
        <v>3600</v>
      </c>
      <c r="Y54" s="44">
        <f t="shared" si="12"/>
        <v>900</v>
      </c>
      <c r="Z54" s="50" t="s">
        <v>196</v>
      </c>
      <c r="AA54" s="47" t="str">
        <f t="shared" si="13"/>
        <v>46204E M P P W O R K Jayawardana</v>
      </c>
    </row>
    <row r="55" spans="1:27" ht="16.5" customHeight="1" thickTop="1" thickBot="1" x14ac:dyDescent="0.35">
      <c r="A55" s="35">
        <v>46204</v>
      </c>
      <c r="B55" t="s">
        <v>116</v>
      </c>
      <c r="C55">
        <v>23</v>
      </c>
      <c r="D55" t="s">
        <v>111</v>
      </c>
      <c r="E55" s="43">
        <v>26500</v>
      </c>
      <c r="F55" s="43">
        <v>3500</v>
      </c>
      <c r="G55" s="43">
        <v>7000</v>
      </c>
      <c r="H55" s="43">
        <v>5000</v>
      </c>
      <c r="I55" s="43">
        <v>26910</v>
      </c>
      <c r="J55" s="43">
        <v>0</v>
      </c>
      <c r="K55" s="43">
        <v>1000</v>
      </c>
      <c r="L55" s="43">
        <v>5250</v>
      </c>
      <c r="M55" s="44">
        <f t="shared" si="7"/>
        <v>75160</v>
      </c>
      <c r="N55" s="44">
        <f t="shared" si="8"/>
        <v>2400</v>
      </c>
      <c r="O55" s="43">
        <v>5000</v>
      </c>
      <c r="P55" s="43">
        <v>0</v>
      </c>
      <c r="Q55" s="43">
        <v>10000</v>
      </c>
      <c r="R55" s="43">
        <v>300</v>
      </c>
      <c r="S55" s="43">
        <v>0</v>
      </c>
      <c r="T55" s="43">
        <v>5250</v>
      </c>
      <c r="U55" s="43">
        <v>0</v>
      </c>
      <c r="V55" s="44">
        <f t="shared" si="9"/>
        <v>22950</v>
      </c>
      <c r="W55" s="44">
        <f t="shared" si="10"/>
        <v>52210</v>
      </c>
      <c r="X55" s="44">
        <f t="shared" si="11"/>
        <v>3600</v>
      </c>
      <c r="Y55" s="44">
        <f t="shared" si="12"/>
        <v>900</v>
      </c>
      <c r="Z55" s="50" t="s">
        <v>197</v>
      </c>
      <c r="AA55" s="47" t="str">
        <f t="shared" si="13"/>
        <v>46204T M R L B Thennakoon</v>
      </c>
    </row>
    <row r="56" spans="1:27" ht="16.5" customHeight="1" thickTop="1" thickBot="1" x14ac:dyDescent="0.35">
      <c r="A56" s="35">
        <v>46204</v>
      </c>
      <c r="B56" t="s">
        <v>121</v>
      </c>
      <c r="C56">
        <v>24</v>
      </c>
      <c r="D56" t="s">
        <v>86</v>
      </c>
      <c r="E56" s="43">
        <v>31500</v>
      </c>
      <c r="F56" s="43">
        <v>3500</v>
      </c>
      <c r="G56" s="43">
        <v>7500</v>
      </c>
      <c r="H56" s="43">
        <v>5000</v>
      </c>
      <c r="I56" s="43">
        <v>26910</v>
      </c>
      <c r="J56" s="43">
        <v>0</v>
      </c>
      <c r="K56" s="43">
        <v>1000</v>
      </c>
      <c r="L56" s="43">
        <v>7640</v>
      </c>
      <c r="M56" s="44">
        <f t="shared" si="7"/>
        <v>83050</v>
      </c>
      <c r="N56" s="44">
        <f t="shared" si="8"/>
        <v>2800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7640</v>
      </c>
      <c r="U56" s="43">
        <v>0</v>
      </c>
      <c r="V56" s="44">
        <f t="shared" si="9"/>
        <v>10440</v>
      </c>
      <c r="W56" s="44">
        <f t="shared" si="10"/>
        <v>72610</v>
      </c>
      <c r="X56" s="44">
        <f t="shared" si="11"/>
        <v>4200</v>
      </c>
      <c r="Y56" s="44">
        <f t="shared" si="12"/>
        <v>1050</v>
      </c>
      <c r="Z56" s="50"/>
      <c r="AA56" s="47" t="str">
        <f t="shared" si="13"/>
        <v>46204W K Senaverathna</v>
      </c>
    </row>
    <row r="57" spans="1:27" ht="16.5" customHeight="1" thickTop="1" thickBot="1" x14ac:dyDescent="0.35">
      <c r="A57" s="35">
        <v>46204</v>
      </c>
      <c r="B57" t="s">
        <v>127</v>
      </c>
      <c r="C57">
        <v>25</v>
      </c>
      <c r="D57" t="s">
        <v>86</v>
      </c>
      <c r="E57" s="43">
        <v>36500</v>
      </c>
      <c r="F57" s="43">
        <v>3500</v>
      </c>
      <c r="G57" s="43">
        <v>5000</v>
      </c>
      <c r="H57" s="43">
        <v>5000</v>
      </c>
      <c r="I57" s="43">
        <v>26910</v>
      </c>
      <c r="J57" s="43">
        <v>10000</v>
      </c>
      <c r="K57" s="43">
        <v>1000</v>
      </c>
      <c r="L57" s="43">
        <v>5150</v>
      </c>
      <c r="M57" s="44">
        <f t="shared" si="7"/>
        <v>93060</v>
      </c>
      <c r="N57" s="44">
        <f t="shared" si="8"/>
        <v>3200</v>
      </c>
      <c r="O57" s="43">
        <v>17000</v>
      </c>
      <c r="P57" s="43">
        <v>0</v>
      </c>
      <c r="Q57" s="43">
        <v>10000</v>
      </c>
      <c r="R57" s="43">
        <v>1200</v>
      </c>
      <c r="S57" s="43">
        <v>0</v>
      </c>
      <c r="T57" s="43">
        <v>5150</v>
      </c>
      <c r="U57" s="43">
        <v>0</v>
      </c>
      <c r="V57" s="44">
        <f t="shared" si="9"/>
        <v>36550</v>
      </c>
      <c r="W57" s="44">
        <f t="shared" si="10"/>
        <v>56510</v>
      </c>
      <c r="X57" s="44">
        <f t="shared" si="11"/>
        <v>4800</v>
      </c>
      <c r="Y57" s="44">
        <f t="shared" si="12"/>
        <v>1200</v>
      </c>
      <c r="Z57" s="50" t="s">
        <v>198</v>
      </c>
      <c r="AA57" s="47" t="str">
        <f t="shared" si="13"/>
        <v>46204D R G S L Ranaweera</v>
      </c>
    </row>
    <row r="58" spans="1:27" ht="16.5" customHeight="1" thickTop="1" thickBot="1" x14ac:dyDescent="0.35">
      <c r="A58" s="35">
        <v>46204</v>
      </c>
      <c r="B58" t="s">
        <v>132</v>
      </c>
      <c r="C58">
        <v>26</v>
      </c>
      <c r="D58" t="s">
        <v>104</v>
      </c>
      <c r="E58" s="43">
        <v>26500</v>
      </c>
      <c r="F58" s="43">
        <v>3500</v>
      </c>
      <c r="G58" s="43">
        <v>0</v>
      </c>
      <c r="H58" s="43">
        <v>0</v>
      </c>
      <c r="I58" s="43">
        <v>0</v>
      </c>
      <c r="J58" s="43">
        <v>0</v>
      </c>
      <c r="K58" s="43">
        <v>1000</v>
      </c>
      <c r="L58" s="43">
        <v>2000</v>
      </c>
      <c r="M58" s="44">
        <f t="shared" si="7"/>
        <v>33000</v>
      </c>
      <c r="N58" s="44">
        <f t="shared" si="8"/>
        <v>2400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2000</v>
      </c>
      <c r="U58" s="43">
        <v>0</v>
      </c>
      <c r="V58" s="44">
        <f t="shared" si="9"/>
        <v>4400</v>
      </c>
      <c r="W58" s="44">
        <f t="shared" si="10"/>
        <v>28600</v>
      </c>
      <c r="X58" s="44">
        <f t="shared" si="11"/>
        <v>3600</v>
      </c>
      <c r="Y58" s="44">
        <f t="shared" si="12"/>
        <v>900</v>
      </c>
      <c r="Z58" s="50"/>
      <c r="AA58" s="47" t="str">
        <f t="shared" si="13"/>
        <v>46204W A A Heshani Bandara</v>
      </c>
    </row>
    <row r="59" spans="1:27" ht="16.5" customHeight="1" thickTop="1" thickBot="1" x14ac:dyDescent="0.35">
      <c r="A59" s="35">
        <v>46204</v>
      </c>
      <c r="B59" t="s">
        <v>8</v>
      </c>
      <c r="C59">
        <v>27</v>
      </c>
      <c r="D59" t="s">
        <v>111</v>
      </c>
      <c r="E59" s="43">
        <v>26500</v>
      </c>
      <c r="F59" s="43">
        <v>3500</v>
      </c>
      <c r="G59" s="43">
        <v>2500</v>
      </c>
      <c r="H59" s="43">
        <v>2500</v>
      </c>
      <c r="I59" s="43">
        <v>24840</v>
      </c>
      <c r="J59" s="43">
        <v>10000</v>
      </c>
      <c r="K59" s="43">
        <v>1000</v>
      </c>
      <c r="L59" s="43">
        <v>8700</v>
      </c>
      <c r="M59" s="44">
        <f t="shared" si="7"/>
        <v>79540</v>
      </c>
      <c r="N59" s="44">
        <f t="shared" si="8"/>
        <v>2400</v>
      </c>
      <c r="O59" s="43">
        <v>13000</v>
      </c>
      <c r="P59" s="43">
        <v>0</v>
      </c>
      <c r="Q59" s="43">
        <v>10000</v>
      </c>
      <c r="R59" s="43">
        <v>1500</v>
      </c>
      <c r="S59" s="43">
        <v>0</v>
      </c>
      <c r="T59" s="43">
        <v>8700</v>
      </c>
      <c r="U59" s="43">
        <v>0</v>
      </c>
      <c r="V59" s="44">
        <f t="shared" si="9"/>
        <v>35600</v>
      </c>
      <c r="W59" s="44">
        <f t="shared" si="10"/>
        <v>43940</v>
      </c>
      <c r="X59" s="44">
        <f t="shared" si="11"/>
        <v>3600</v>
      </c>
      <c r="Y59" s="44">
        <f t="shared" si="12"/>
        <v>900</v>
      </c>
      <c r="Z59" s="50" t="s">
        <v>199</v>
      </c>
      <c r="AA59" s="47" t="str">
        <f t="shared" si="13"/>
        <v>46204D M T S Disanayake</v>
      </c>
    </row>
    <row r="60" spans="1:27" ht="16.5" customHeight="1" thickTop="1" thickBot="1" x14ac:dyDescent="0.35">
      <c r="A60" s="35">
        <v>46204</v>
      </c>
      <c r="B60" t="s">
        <v>141</v>
      </c>
      <c r="C60">
        <v>28</v>
      </c>
      <c r="D60" t="s">
        <v>86</v>
      </c>
      <c r="E60" s="43">
        <v>36500</v>
      </c>
      <c r="F60" s="43">
        <v>3500</v>
      </c>
      <c r="G60" s="43">
        <v>10000</v>
      </c>
      <c r="H60" s="43">
        <v>5000</v>
      </c>
      <c r="I60" s="43">
        <v>26910</v>
      </c>
      <c r="J60" s="43">
        <v>10000</v>
      </c>
      <c r="K60" s="43">
        <v>1000</v>
      </c>
      <c r="L60" s="43">
        <v>4645</v>
      </c>
      <c r="M60" s="44">
        <f t="shared" si="7"/>
        <v>97555</v>
      </c>
      <c r="N60" s="44">
        <f t="shared" si="8"/>
        <v>3200</v>
      </c>
      <c r="O60" s="43">
        <v>9000</v>
      </c>
      <c r="P60" s="43">
        <v>0</v>
      </c>
      <c r="Q60" s="43">
        <v>0</v>
      </c>
      <c r="R60" s="43">
        <v>0</v>
      </c>
      <c r="S60" s="43">
        <v>0</v>
      </c>
      <c r="T60" s="43">
        <v>4645</v>
      </c>
      <c r="U60" s="43">
        <v>0</v>
      </c>
      <c r="V60" s="44">
        <f t="shared" si="9"/>
        <v>16845</v>
      </c>
      <c r="W60" s="44">
        <f t="shared" si="10"/>
        <v>80710</v>
      </c>
      <c r="X60" s="44">
        <f t="shared" si="11"/>
        <v>4800</v>
      </c>
      <c r="Y60" s="44">
        <f t="shared" si="12"/>
        <v>1200</v>
      </c>
      <c r="Z60" s="50"/>
      <c r="AA60" s="47" t="str">
        <f t="shared" si="13"/>
        <v>46204P L D B Wijewardhna</v>
      </c>
    </row>
    <row r="61" spans="1:27" ht="16.5" customHeight="1" thickTop="1" thickBot="1" x14ac:dyDescent="0.35">
      <c r="A61" s="35">
        <v>46204</v>
      </c>
      <c r="B61" t="s">
        <v>146</v>
      </c>
      <c r="C61">
        <v>29</v>
      </c>
      <c r="D61" t="s">
        <v>111</v>
      </c>
      <c r="E61" s="43">
        <v>26500</v>
      </c>
      <c r="F61" s="43">
        <v>3500</v>
      </c>
      <c r="G61" s="43">
        <v>5000</v>
      </c>
      <c r="H61" s="43">
        <v>5000</v>
      </c>
      <c r="I61" s="43">
        <v>18630</v>
      </c>
      <c r="J61" s="43">
        <v>0</v>
      </c>
      <c r="K61" s="43">
        <v>1000</v>
      </c>
      <c r="L61" s="43">
        <v>0</v>
      </c>
      <c r="M61" s="44">
        <f t="shared" si="7"/>
        <v>59630</v>
      </c>
      <c r="N61" s="44">
        <f t="shared" si="8"/>
        <v>2400</v>
      </c>
      <c r="O61" s="43">
        <v>11800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4">
        <f t="shared" si="9"/>
        <v>14200</v>
      </c>
      <c r="W61" s="44">
        <f t="shared" si="10"/>
        <v>45430</v>
      </c>
      <c r="X61" s="44">
        <f t="shared" si="11"/>
        <v>3600</v>
      </c>
      <c r="Y61" s="44">
        <f t="shared" si="12"/>
        <v>900</v>
      </c>
      <c r="Z61" s="50"/>
      <c r="AA61" s="47" t="str">
        <f t="shared" si="13"/>
        <v>46204N G L D Supunsiri</v>
      </c>
    </row>
    <row r="62" spans="1:27" ht="16.5" customHeight="1" thickTop="1" thickBot="1" x14ac:dyDescent="0.35">
      <c r="A62" s="35">
        <v>46235</v>
      </c>
      <c r="B62" t="s">
        <v>60</v>
      </c>
      <c r="C62">
        <v>5</v>
      </c>
      <c r="D62" t="s">
        <v>61</v>
      </c>
      <c r="E62" s="43">
        <v>61500</v>
      </c>
      <c r="F62" s="43">
        <v>3500</v>
      </c>
      <c r="G62" s="43">
        <v>53000</v>
      </c>
      <c r="H62" s="43">
        <v>0</v>
      </c>
      <c r="I62" s="43">
        <v>29000</v>
      </c>
      <c r="J62" s="43">
        <v>30000</v>
      </c>
      <c r="K62" s="43">
        <v>1000</v>
      </c>
      <c r="L62" s="43">
        <v>0</v>
      </c>
      <c r="M62" s="44">
        <f t="shared" si="7"/>
        <v>178000</v>
      </c>
      <c r="N62" s="44">
        <f t="shared" si="8"/>
        <v>5200</v>
      </c>
      <c r="O62" s="43">
        <v>50000</v>
      </c>
      <c r="P62" s="43">
        <v>0</v>
      </c>
      <c r="Q62" s="43">
        <v>9250</v>
      </c>
      <c r="R62" s="43">
        <v>2960</v>
      </c>
      <c r="S62" s="43">
        <v>0</v>
      </c>
      <c r="T62" s="43">
        <v>0</v>
      </c>
      <c r="U62" s="43">
        <v>1680</v>
      </c>
      <c r="V62" s="44">
        <f t="shared" si="9"/>
        <v>69090</v>
      </c>
      <c r="W62" s="44">
        <f t="shared" si="10"/>
        <v>108910</v>
      </c>
      <c r="X62" s="44">
        <f t="shared" si="11"/>
        <v>7800</v>
      </c>
      <c r="Y62" s="44">
        <f t="shared" si="12"/>
        <v>1950</v>
      </c>
      <c r="Z62" s="50" t="s">
        <v>200</v>
      </c>
      <c r="AA62" s="47" t="str">
        <f t="shared" si="13"/>
        <v>46235R A A S Ranasinghe</v>
      </c>
    </row>
    <row r="63" spans="1:27" ht="16.5" customHeight="1" thickTop="1" thickBot="1" x14ac:dyDescent="0.35">
      <c r="A63" s="35">
        <v>46235</v>
      </c>
      <c r="B63" t="s">
        <v>69</v>
      </c>
      <c r="C63">
        <v>10</v>
      </c>
      <c r="D63" t="s">
        <v>70</v>
      </c>
      <c r="E63" s="43">
        <v>26500</v>
      </c>
      <c r="F63" s="43">
        <v>3500</v>
      </c>
      <c r="G63" s="43">
        <v>5000</v>
      </c>
      <c r="H63" s="43">
        <v>0</v>
      </c>
      <c r="I63" s="43">
        <v>7000</v>
      </c>
      <c r="J63" s="43">
        <v>0</v>
      </c>
      <c r="K63" s="43">
        <v>1000</v>
      </c>
      <c r="L63" s="43">
        <v>3000</v>
      </c>
      <c r="M63" s="44">
        <f t="shared" si="7"/>
        <v>46000</v>
      </c>
      <c r="N63" s="44">
        <f t="shared" si="8"/>
        <v>2400</v>
      </c>
      <c r="O63" s="43">
        <v>0</v>
      </c>
      <c r="P63" s="43">
        <v>0</v>
      </c>
      <c r="Q63" s="43">
        <v>10000</v>
      </c>
      <c r="R63" s="43">
        <v>300</v>
      </c>
      <c r="S63" s="43">
        <v>0</v>
      </c>
      <c r="T63" s="43">
        <v>3000</v>
      </c>
      <c r="U63" s="43">
        <v>0</v>
      </c>
      <c r="V63" s="44">
        <f t="shared" si="9"/>
        <v>15700</v>
      </c>
      <c r="W63" s="44">
        <f t="shared" si="10"/>
        <v>30300</v>
      </c>
      <c r="X63" s="44">
        <f t="shared" si="11"/>
        <v>3600</v>
      </c>
      <c r="Y63" s="44">
        <f t="shared" si="12"/>
        <v>900</v>
      </c>
      <c r="Z63" s="50" t="s">
        <v>175</v>
      </c>
      <c r="AA63" s="47" t="str">
        <f t="shared" si="13"/>
        <v>46235P G U N Wimalasooriya</v>
      </c>
    </row>
    <row r="64" spans="1:27" ht="16.5" customHeight="1" thickTop="1" thickBot="1" x14ac:dyDescent="0.35">
      <c r="A64" s="35">
        <v>46235</v>
      </c>
      <c r="B64" t="s">
        <v>77</v>
      </c>
      <c r="C64">
        <v>16</v>
      </c>
      <c r="D64" t="s">
        <v>78</v>
      </c>
      <c r="E64" s="43">
        <v>41500</v>
      </c>
      <c r="F64" s="43">
        <v>3500</v>
      </c>
      <c r="G64" s="43">
        <v>17000</v>
      </c>
      <c r="H64" s="43">
        <v>8000</v>
      </c>
      <c r="I64" s="43">
        <v>28980</v>
      </c>
      <c r="J64" s="43">
        <v>0</v>
      </c>
      <c r="K64" s="43">
        <v>1000</v>
      </c>
      <c r="L64" s="43">
        <v>3000</v>
      </c>
      <c r="M64" s="44">
        <f t="shared" si="7"/>
        <v>102980</v>
      </c>
      <c r="N64" s="44">
        <f t="shared" si="8"/>
        <v>3600</v>
      </c>
      <c r="O64" s="43">
        <v>18000</v>
      </c>
      <c r="P64" s="43">
        <v>0</v>
      </c>
      <c r="Q64" s="43">
        <v>5000</v>
      </c>
      <c r="R64" s="43">
        <v>900</v>
      </c>
      <c r="S64" s="43">
        <v>0</v>
      </c>
      <c r="T64" s="43">
        <v>3000</v>
      </c>
      <c r="U64" s="43">
        <v>0</v>
      </c>
      <c r="V64" s="44">
        <f t="shared" si="9"/>
        <v>30500</v>
      </c>
      <c r="W64" s="44">
        <f t="shared" si="10"/>
        <v>72480</v>
      </c>
      <c r="X64" s="44">
        <f t="shared" si="11"/>
        <v>5400</v>
      </c>
      <c r="Y64" s="44">
        <f t="shared" si="12"/>
        <v>1350</v>
      </c>
      <c r="Z64" s="50" t="s">
        <v>201</v>
      </c>
      <c r="AA64" s="47" t="str">
        <f t="shared" si="13"/>
        <v>46235N M A G M Peiris</v>
      </c>
    </row>
    <row r="65" spans="1:27" ht="16.5" customHeight="1" thickTop="1" thickBot="1" x14ac:dyDescent="0.35">
      <c r="A65" s="35">
        <v>46235</v>
      </c>
      <c r="B65" t="s">
        <v>85</v>
      </c>
      <c r="C65">
        <v>17</v>
      </c>
      <c r="D65" t="s">
        <v>86</v>
      </c>
      <c r="E65" s="43">
        <v>31500</v>
      </c>
      <c r="F65" s="43">
        <v>3500</v>
      </c>
      <c r="G65" s="43">
        <v>7500</v>
      </c>
      <c r="H65" s="43">
        <v>5000</v>
      </c>
      <c r="I65" s="43">
        <v>28980</v>
      </c>
      <c r="J65" s="43">
        <v>10000</v>
      </c>
      <c r="K65" s="43">
        <v>1000</v>
      </c>
      <c r="L65" s="43">
        <v>5850</v>
      </c>
      <c r="M65" s="44">
        <f t="shared" si="7"/>
        <v>93330</v>
      </c>
      <c r="N65" s="44">
        <f t="shared" si="8"/>
        <v>2800</v>
      </c>
      <c r="O65" s="43">
        <v>11000</v>
      </c>
      <c r="P65" s="43">
        <v>0</v>
      </c>
      <c r="Q65" s="43">
        <v>20000</v>
      </c>
      <c r="R65" s="43">
        <v>1200</v>
      </c>
      <c r="S65" s="43">
        <v>0</v>
      </c>
      <c r="T65" s="43">
        <v>5850</v>
      </c>
      <c r="U65" s="43">
        <v>0</v>
      </c>
      <c r="V65" s="44">
        <f t="shared" si="9"/>
        <v>40850</v>
      </c>
      <c r="W65" s="44">
        <f t="shared" si="10"/>
        <v>52480</v>
      </c>
      <c r="X65" s="44">
        <f t="shared" si="11"/>
        <v>4200</v>
      </c>
      <c r="Y65" s="44">
        <f t="shared" si="12"/>
        <v>1050</v>
      </c>
      <c r="Z65" s="50" t="s">
        <v>202</v>
      </c>
      <c r="AA65" s="47" t="str">
        <f t="shared" si="13"/>
        <v>46235K R T Hemantha</v>
      </c>
    </row>
    <row r="66" spans="1:27" ht="16.5" customHeight="1" thickTop="1" thickBot="1" x14ac:dyDescent="0.35">
      <c r="A66" s="35">
        <v>46235</v>
      </c>
      <c r="B66" t="s">
        <v>92</v>
      </c>
      <c r="C66">
        <v>18</v>
      </c>
      <c r="D66" t="s">
        <v>93</v>
      </c>
      <c r="E66" s="43">
        <v>51500</v>
      </c>
      <c r="F66" s="43">
        <v>3500</v>
      </c>
      <c r="G66" s="43">
        <v>21000</v>
      </c>
      <c r="H66" s="43">
        <v>0</v>
      </c>
      <c r="I66" s="43">
        <v>10000</v>
      </c>
      <c r="J66" s="43">
        <v>0</v>
      </c>
      <c r="K66" s="43">
        <v>1000</v>
      </c>
      <c r="L66" s="43">
        <v>3000</v>
      </c>
      <c r="M66" s="44">
        <f t="shared" ref="M66:M97" si="14">SUM(E66:L66)</f>
        <v>90000</v>
      </c>
      <c r="N66" s="44">
        <f t="shared" ref="N66:N97" si="15">(E66+F66)*8%</f>
        <v>4400</v>
      </c>
      <c r="O66" s="43">
        <v>0</v>
      </c>
      <c r="P66" s="43">
        <v>0</v>
      </c>
      <c r="Q66" s="43">
        <v>10000</v>
      </c>
      <c r="R66" s="43">
        <v>1500</v>
      </c>
      <c r="S66" s="43">
        <v>0</v>
      </c>
      <c r="T66" s="43">
        <v>3000</v>
      </c>
      <c r="U66" s="43">
        <v>0</v>
      </c>
      <c r="V66" s="44">
        <f t="shared" ref="V66:V97" si="16">SUM(N66:U66)</f>
        <v>18900</v>
      </c>
      <c r="W66" s="44">
        <f t="shared" ref="W66:W97" si="17">M66-V66</f>
        <v>71100</v>
      </c>
      <c r="X66" s="44">
        <f t="shared" ref="X66:X97" si="18">(E66+F66)*12%</f>
        <v>6600</v>
      </c>
      <c r="Y66" s="44">
        <f t="shared" ref="Y66:Y97" si="19">(E66+F66)*3%</f>
        <v>1650</v>
      </c>
      <c r="Z66" s="50" t="s">
        <v>199</v>
      </c>
      <c r="AA66" s="47" t="str">
        <f t="shared" ref="AA66:AA97" si="20">A66&amp;B66</f>
        <v>46235W M H M Weerasinghe</v>
      </c>
    </row>
    <row r="67" spans="1:27" ht="16.5" customHeight="1" thickTop="1" thickBot="1" x14ac:dyDescent="0.35">
      <c r="A67" s="35">
        <v>46235</v>
      </c>
      <c r="B67" t="s">
        <v>99</v>
      </c>
      <c r="C67">
        <v>19</v>
      </c>
      <c r="D67" t="s">
        <v>86</v>
      </c>
      <c r="E67" s="43">
        <v>36500</v>
      </c>
      <c r="F67" s="43">
        <v>3500</v>
      </c>
      <c r="G67" s="43">
        <v>7500</v>
      </c>
      <c r="H67" s="43">
        <v>5000</v>
      </c>
      <c r="I67" s="43">
        <v>28980</v>
      </c>
      <c r="J67" s="43">
        <v>10000</v>
      </c>
      <c r="K67" s="43">
        <v>1000</v>
      </c>
      <c r="L67" s="43">
        <v>8500</v>
      </c>
      <c r="M67" s="44">
        <f t="shared" si="14"/>
        <v>100980</v>
      </c>
      <c r="N67" s="44">
        <f t="shared" si="15"/>
        <v>3200</v>
      </c>
      <c r="O67" s="43">
        <v>0</v>
      </c>
      <c r="P67" s="43">
        <v>0</v>
      </c>
      <c r="Q67" s="43">
        <v>8333.33</v>
      </c>
      <c r="R67" s="43">
        <v>500</v>
      </c>
      <c r="S67" s="43">
        <v>0</v>
      </c>
      <c r="T67" s="43">
        <v>8500</v>
      </c>
      <c r="U67" s="43">
        <v>0</v>
      </c>
      <c r="V67" s="44">
        <f t="shared" si="16"/>
        <v>20533.330000000002</v>
      </c>
      <c r="W67" s="44">
        <f t="shared" si="17"/>
        <v>80446.67</v>
      </c>
      <c r="X67" s="44">
        <f t="shared" si="18"/>
        <v>4800</v>
      </c>
      <c r="Y67" s="44">
        <f t="shared" si="19"/>
        <v>1200</v>
      </c>
      <c r="Z67" s="50" t="s">
        <v>203</v>
      </c>
      <c r="AA67" s="47" t="str">
        <f t="shared" si="20"/>
        <v>46235R W D S Wijerathna</v>
      </c>
    </row>
    <row r="68" spans="1:27" ht="16.5" customHeight="1" thickTop="1" thickBot="1" x14ac:dyDescent="0.35">
      <c r="A68" s="35">
        <v>46235</v>
      </c>
      <c r="B68" t="s">
        <v>103</v>
      </c>
      <c r="C68">
        <v>21</v>
      </c>
      <c r="D68" t="s">
        <v>104</v>
      </c>
      <c r="E68" s="43">
        <v>26500</v>
      </c>
      <c r="F68" s="43">
        <v>3500</v>
      </c>
      <c r="G68" s="43">
        <v>0</v>
      </c>
      <c r="H68" s="43">
        <v>0</v>
      </c>
      <c r="I68" s="43">
        <v>5000</v>
      </c>
      <c r="J68" s="43">
        <v>0</v>
      </c>
      <c r="K68" s="43">
        <v>1000</v>
      </c>
      <c r="L68" s="43">
        <v>3000</v>
      </c>
      <c r="M68" s="44">
        <f t="shared" si="14"/>
        <v>39000</v>
      </c>
      <c r="N68" s="44">
        <f t="shared" si="15"/>
        <v>2400</v>
      </c>
      <c r="O68" s="43">
        <v>3500</v>
      </c>
      <c r="P68" s="43">
        <v>0</v>
      </c>
      <c r="Q68" s="43">
        <v>6000</v>
      </c>
      <c r="R68" s="43">
        <v>180</v>
      </c>
      <c r="S68" s="43">
        <v>0</v>
      </c>
      <c r="T68" s="43">
        <v>3000</v>
      </c>
      <c r="U68" s="43">
        <v>0</v>
      </c>
      <c r="V68" s="44">
        <f t="shared" si="16"/>
        <v>15080</v>
      </c>
      <c r="W68" s="44">
        <f t="shared" si="17"/>
        <v>23920</v>
      </c>
      <c r="X68" s="44">
        <f t="shared" si="18"/>
        <v>3600</v>
      </c>
      <c r="Y68" s="44">
        <f t="shared" si="19"/>
        <v>900</v>
      </c>
      <c r="Z68" s="50" t="s">
        <v>197</v>
      </c>
      <c r="AA68" s="47" t="str">
        <f t="shared" si="20"/>
        <v>46235S Wathmi Sankalpana</v>
      </c>
    </row>
    <row r="69" spans="1:27" ht="16.5" customHeight="1" thickTop="1" thickBot="1" x14ac:dyDescent="0.35">
      <c r="A69" s="35">
        <v>46235</v>
      </c>
      <c r="B69" t="s">
        <v>110</v>
      </c>
      <c r="C69">
        <v>22</v>
      </c>
      <c r="D69" t="s">
        <v>111</v>
      </c>
      <c r="E69" s="43">
        <v>26500</v>
      </c>
      <c r="F69" s="43">
        <v>3500</v>
      </c>
      <c r="G69" s="43">
        <v>5000</v>
      </c>
      <c r="H69" s="43">
        <v>2760</v>
      </c>
      <c r="I69" s="43">
        <v>26910</v>
      </c>
      <c r="J69" s="43">
        <v>10000</v>
      </c>
      <c r="K69" s="43">
        <v>1000</v>
      </c>
      <c r="L69" s="43">
        <v>5260</v>
      </c>
      <c r="M69" s="44">
        <f t="shared" si="14"/>
        <v>80930</v>
      </c>
      <c r="N69" s="44">
        <f t="shared" si="15"/>
        <v>2400</v>
      </c>
      <c r="O69" s="43">
        <v>10000</v>
      </c>
      <c r="P69" s="43">
        <v>0</v>
      </c>
      <c r="Q69" s="43">
        <v>5000</v>
      </c>
      <c r="R69" s="43">
        <v>1800</v>
      </c>
      <c r="S69" s="43">
        <v>0</v>
      </c>
      <c r="T69" s="43">
        <v>5260</v>
      </c>
      <c r="U69" s="43">
        <v>0</v>
      </c>
      <c r="V69" s="44">
        <f t="shared" si="16"/>
        <v>24460</v>
      </c>
      <c r="W69" s="44">
        <f t="shared" si="17"/>
        <v>56470</v>
      </c>
      <c r="X69" s="44">
        <f t="shared" si="18"/>
        <v>3600</v>
      </c>
      <c r="Y69" s="44">
        <f t="shared" si="19"/>
        <v>900</v>
      </c>
      <c r="Z69" s="50" t="s">
        <v>204</v>
      </c>
      <c r="AA69" s="47" t="str">
        <f t="shared" si="20"/>
        <v>46235E M P P W O R K Jayawardana</v>
      </c>
    </row>
    <row r="70" spans="1:27" ht="16.5" customHeight="1" thickTop="1" thickBot="1" x14ac:dyDescent="0.35">
      <c r="A70" s="35">
        <v>46235</v>
      </c>
      <c r="B70" t="s">
        <v>116</v>
      </c>
      <c r="C70">
        <v>23</v>
      </c>
      <c r="D70" t="s">
        <v>111</v>
      </c>
      <c r="E70" s="43">
        <v>26500</v>
      </c>
      <c r="F70" s="43">
        <v>3500</v>
      </c>
      <c r="G70" s="43">
        <v>7000</v>
      </c>
      <c r="H70" s="43">
        <v>5000</v>
      </c>
      <c r="I70" s="43">
        <v>26910</v>
      </c>
      <c r="J70" s="43">
        <v>0</v>
      </c>
      <c r="K70" s="43">
        <v>1000</v>
      </c>
      <c r="L70" s="43">
        <v>4480</v>
      </c>
      <c r="M70" s="44">
        <f t="shared" si="14"/>
        <v>74390</v>
      </c>
      <c r="N70" s="44">
        <f t="shared" si="15"/>
        <v>2400</v>
      </c>
      <c r="O70" s="43">
        <v>5000</v>
      </c>
      <c r="P70" s="43">
        <v>0</v>
      </c>
      <c r="Q70" s="43">
        <v>0</v>
      </c>
      <c r="R70" s="43">
        <v>0</v>
      </c>
      <c r="S70" s="43">
        <v>0</v>
      </c>
      <c r="T70" s="43">
        <v>4480</v>
      </c>
      <c r="U70" s="43">
        <v>0</v>
      </c>
      <c r="V70" s="44">
        <f t="shared" si="16"/>
        <v>11880</v>
      </c>
      <c r="W70" s="44">
        <f t="shared" si="17"/>
        <v>62510</v>
      </c>
      <c r="X70" s="44">
        <f t="shared" si="18"/>
        <v>3600</v>
      </c>
      <c r="Y70" s="44">
        <f t="shared" si="19"/>
        <v>900</v>
      </c>
      <c r="Z70" s="50"/>
      <c r="AA70" s="47" t="str">
        <f t="shared" si="20"/>
        <v>46235T M R L B Thennakoon</v>
      </c>
    </row>
    <row r="71" spans="1:27" ht="16.5" customHeight="1" thickTop="1" thickBot="1" x14ac:dyDescent="0.35">
      <c r="A71" s="35">
        <v>46235</v>
      </c>
      <c r="B71" t="s">
        <v>121</v>
      </c>
      <c r="C71">
        <v>24</v>
      </c>
      <c r="D71" t="s">
        <v>86</v>
      </c>
      <c r="E71" s="43">
        <v>31500</v>
      </c>
      <c r="F71" s="43">
        <v>3500</v>
      </c>
      <c r="G71" s="43">
        <v>7500</v>
      </c>
      <c r="H71" s="43">
        <v>5000</v>
      </c>
      <c r="I71" s="43">
        <v>26910</v>
      </c>
      <c r="J71" s="43">
        <v>0</v>
      </c>
      <c r="K71" s="43">
        <v>1000</v>
      </c>
      <c r="L71" s="43">
        <v>5260</v>
      </c>
      <c r="M71" s="44">
        <f t="shared" si="14"/>
        <v>80670</v>
      </c>
      <c r="N71" s="44">
        <f t="shared" si="15"/>
        <v>2800</v>
      </c>
      <c r="O71" s="43">
        <v>5000</v>
      </c>
      <c r="P71" s="43">
        <v>0</v>
      </c>
      <c r="Q71" s="43">
        <v>0</v>
      </c>
      <c r="R71" s="43">
        <v>0</v>
      </c>
      <c r="S71" s="43">
        <v>0</v>
      </c>
      <c r="T71" s="43">
        <v>5260</v>
      </c>
      <c r="U71" s="43">
        <v>0</v>
      </c>
      <c r="V71" s="44">
        <f t="shared" si="16"/>
        <v>13060</v>
      </c>
      <c r="W71" s="44">
        <f t="shared" si="17"/>
        <v>67610</v>
      </c>
      <c r="X71" s="44">
        <f t="shared" si="18"/>
        <v>4200</v>
      </c>
      <c r="Y71" s="44">
        <f t="shared" si="19"/>
        <v>1050</v>
      </c>
      <c r="Z71" s="50"/>
      <c r="AA71" s="47" t="str">
        <f t="shared" si="20"/>
        <v>46235W K Senaverathna</v>
      </c>
    </row>
    <row r="72" spans="1:27" ht="16.5" customHeight="1" thickTop="1" thickBot="1" x14ac:dyDescent="0.35">
      <c r="A72" s="35">
        <v>46235</v>
      </c>
      <c r="B72" t="s">
        <v>127</v>
      </c>
      <c r="C72">
        <v>25</v>
      </c>
      <c r="D72" t="s">
        <v>86</v>
      </c>
      <c r="E72" s="43">
        <v>36500</v>
      </c>
      <c r="F72" s="43">
        <v>3500</v>
      </c>
      <c r="G72" s="43">
        <v>5000</v>
      </c>
      <c r="H72" s="43">
        <v>5000</v>
      </c>
      <c r="I72" s="43">
        <v>26910</v>
      </c>
      <c r="J72" s="43">
        <v>10000</v>
      </c>
      <c r="K72" s="43">
        <v>1000</v>
      </c>
      <c r="L72" s="43">
        <v>5780</v>
      </c>
      <c r="M72" s="44">
        <f t="shared" si="14"/>
        <v>93690</v>
      </c>
      <c r="N72" s="44">
        <f t="shared" si="15"/>
        <v>3200</v>
      </c>
      <c r="O72" s="43">
        <v>16000</v>
      </c>
      <c r="P72" s="43">
        <v>0</v>
      </c>
      <c r="Q72" s="43">
        <v>10000</v>
      </c>
      <c r="R72" s="43">
        <v>900</v>
      </c>
      <c r="S72" s="43">
        <v>0</v>
      </c>
      <c r="T72" s="43">
        <v>5780</v>
      </c>
      <c r="U72" s="43">
        <v>0</v>
      </c>
      <c r="V72" s="44">
        <f t="shared" si="16"/>
        <v>35880</v>
      </c>
      <c r="W72" s="44">
        <f t="shared" si="17"/>
        <v>57810</v>
      </c>
      <c r="X72" s="44">
        <f t="shared" si="18"/>
        <v>4800</v>
      </c>
      <c r="Y72" s="44">
        <f t="shared" si="19"/>
        <v>1200</v>
      </c>
      <c r="Z72" s="50" t="s">
        <v>205</v>
      </c>
      <c r="AA72" s="47" t="str">
        <f t="shared" si="20"/>
        <v>46235D R G S L Ranaweera</v>
      </c>
    </row>
    <row r="73" spans="1:27" ht="16.5" customHeight="1" thickTop="1" thickBot="1" x14ac:dyDescent="0.35">
      <c r="A73" s="35">
        <v>46235</v>
      </c>
      <c r="B73" t="s">
        <v>132</v>
      </c>
      <c r="C73">
        <v>26</v>
      </c>
      <c r="D73" t="s">
        <v>104</v>
      </c>
      <c r="E73" s="43">
        <v>26500</v>
      </c>
      <c r="F73" s="43">
        <v>3500</v>
      </c>
      <c r="G73" s="43">
        <v>0</v>
      </c>
      <c r="H73" s="43">
        <v>0</v>
      </c>
      <c r="I73" s="43">
        <v>0</v>
      </c>
      <c r="J73" s="43">
        <v>0</v>
      </c>
      <c r="K73" s="43">
        <v>1000</v>
      </c>
      <c r="L73" s="43">
        <v>3000</v>
      </c>
      <c r="M73" s="44">
        <f t="shared" si="14"/>
        <v>34000</v>
      </c>
      <c r="N73" s="44">
        <f t="shared" si="15"/>
        <v>2400</v>
      </c>
      <c r="O73" s="43">
        <v>13000</v>
      </c>
      <c r="P73" s="43">
        <v>0</v>
      </c>
      <c r="Q73" s="43">
        <v>0</v>
      </c>
      <c r="R73" s="43">
        <v>0</v>
      </c>
      <c r="S73" s="43">
        <v>0</v>
      </c>
      <c r="T73" s="43">
        <v>3000</v>
      </c>
      <c r="U73" s="43">
        <v>0</v>
      </c>
      <c r="V73" s="44">
        <f t="shared" si="16"/>
        <v>18400</v>
      </c>
      <c r="W73" s="44">
        <f t="shared" si="17"/>
        <v>15600</v>
      </c>
      <c r="X73" s="44">
        <f t="shared" si="18"/>
        <v>3600</v>
      </c>
      <c r="Y73" s="44">
        <f t="shared" si="19"/>
        <v>900</v>
      </c>
      <c r="Z73" s="50"/>
      <c r="AA73" s="47" t="str">
        <f t="shared" si="20"/>
        <v>46235W A A Heshani Bandara</v>
      </c>
    </row>
    <row r="74" spans="1:27" ht="16.5" customHeight="1" thickTop="1" thickBot="1" x14ac:dyDescent="0.35">
      <c r="A74" s="35">
        <v>46235</v>
      </c>
      <c r="B74" t="s">
        <v>8</v>
      </c>
      <c r="C74">
        <v>27</v>
      </c>
      <c r="D74" t="s">
        <v>111</v>
      </c>
      <c r="E74" s="43">
        <v>26500</v>
      </c>
      <c r="F74" s="43">
        <v>3500</v>
      </c>
      <c r="G74" s="43">
        <v>2500</v>
      </c>
      <c r="H74" s="43">
        <v>2500</v>
      </c>
      <c r="I74" s="43">
        <v>24840</v>
      </c>
      <c r="J74" s="43">
        <v>10000</v>
      </c>
      <c r="K74" s="43">
        <v>1000</v>
      </c>
      <c r="L74" s="43">
        <v>5305</v>
      </c>
      <c r="M74" s="44">
        <f t="shared" si="14"/>
        <v>76145</v>
      </c>
      <c r="N74" s="44">
        <f t="shared" si="15"/>
        <v>2400</v>
      </c>
      <c r="O74" s="43">
        <v>5000</v>
      </c>
      <c r="P74" s="43">
        <v>0</v>
      </c>
      <c r="Q74" s="43">
        <v>10000</v>
      </c>
      <c r="R74" s="43">
        <v>2700</v>
      </c>
      <c r="S74" s="43">
        <v>0</v>
      </c>
      <c r="T74" s="43">
        <v>5305</v>
      </c>
      <c r="U74" s="43">
        <v>0</v>
      </c>
      <c r="V74" s="44">
        <f t="shared" si="16"/>
        <v>25405</v>
      </c>
      <c r="W74" s="44">
        <f t="shared" si="17"/>
        <v>50740</v>
      </c>
      <c r="X74" s="44">
        <f t="shared" si="18"/>
        <v>3600</v>
      </c>
      <c r="Y74" s="44">
        <f t="shared" si="19"/>
        <v>900</v>
      </c>
      <c r="Z74" s="50" t="s">
        <v>206</v>
      </c>
      <c r="AA74" s="47" t="str">
        <f t="shared" si="20"/>
        <v>46235D M T S Disanayake</v>
      </c>
    </row>
    <row r="75" spans="1:27" ht="16.5" customHeight="1" thickTop="1" thickBot="1" x14ac:dyDescent="0.35">
      <c r="A75" s="35">
        <v>46235</v>
      </c>
      <c r="B75" t="s">
        <v>141</v>
      </c>
      <c r="C75">
        <v>28</v>
      </c>
      <c r="D75" t="s">
        <v>86</v>
      </c>
      <c r="E75" s="43">
        <v>36500</v>
      </c>
      <c r="F75" s="43">
        <v>3500</v>
      </c>
      <c r="G75" s="43">
        <v>10000</v>
      </c>
      <c r="H75" s="43">
        <v>5000</v>
      </c>
      <c r="I75" s="43">
        <v>26910</v>
      </c>
      <c r="J75" s="43">
        <v>10000</v>
      </c>
      <c r="K75" s="43">
        <v>1000</v>
      </c>
      <c r="L75" s="43">
        <v>7745</v>
      </c>
      <c r="M75" s="44">
        <f t="shared" si="14"/>
        <v>100655</v>
      </c>
      <c r="N75" s="44">
        <f t="shared" si="15"/>
        <v>3200</v>
      </c>
      <c r="O75" s="43">
        <v>15000</v>
      </c>
      <c r="P75" s="43">
        <v>0</v>
      </c>
      <c r="Q75" s="43">
        <v>0</v>
      </c>
      <c r="R75" s="43">
        <v>0</v>
      </c>
      <c r="S75" s="43">
        <v>0</v>
      </c>
      <c r="T75" s="43">
        <v>7745</v>
      </c>
      <c r="U75" s="43">
        <v>0</v>
      </c>
      <c r="V75" s="44">
        <f t="shared" si="16"/>
        <v>25945</v>
      </c>
      <c r="W75" s="44">
        <f t="shared" si="17"/>
        <v>74710</v>
      </c>
      <c r="X75" s="44">
        <f t="shared" si="18"/>
        <v>4800</v>
      </c>
      <c r="Y75" s="44">
        <f t="shared" si="19"/>
        <v>1200</v>
      </c>
      <c r="Z75" s="50"/>
      <c r="AA75" s="47" t="str">
        <f t="shared" si="20"/>
        <v>46235P L D B Wijewardhna</v>
      </c>
    </row>
    <row r="76" spans="1:27" ht="16.5" customHeight="1" thickTop="1" thickBot="1" x14ac:dyDescent="0.35">
      <c r="A76" s="35">
        <v>46235</v>
      </c>
      <c r="B76" t="s">
        <v>146</v>
      </c>
      <c r="C76">
        <v>29</v>
      </c>
      <c r="D76" t="s">
        <v>111</v>
      </c>
      <c r="E76" s="43">
        <v>26500</v>
      </c>
      <c r="F76" s="43">
        <v>3500</v>
      </c>
      <c r="G76" s="43">
        <v>5000</v>
      </c>
      <c r="H76" s="43">
        <v>5000</v>
      </c>
      <c r="I76" s="43">
        <v>18630</v>
      </c>
      <c r="J76" s="43">
        <v>0</v>
      </c>
      <c r="K76" s="43">
        <v>1000</v>
      </c>
      <c r="L76" s="43">
        <v>0</v>
      </c>
      <c r="M76" s="44">
        <f t="shared" si="14"/>
        <v>59630</v>
      </c>
      <c r="N76" s="44">
        <f t="shared" si="15"/>
        <v>2400</v>
      </c>
      <c r="O76" s="43">
        <v>11000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4">
        <f t="shared" si="16"/>
        <v>13400</v>
      </c>
      <c r="W76" s="44">
        <f t="shared" si="17"/>
        <v>46230</v>
      </c>
      <c r="X76" s="44">
        <f t="shared" si="18"/>
        <v>3600</v>
      </c>
      <c r="Y76" s="44">
        <f t="shared" si="19"/>
        <v>900</v>
      </c>
      <c r="Z76" s="50"/>
      <c r="AA76" s="47" t="str">
        <f t="shared" si="20"/>
        <v>46235N G L D Supunsiri</v>
      </c>
    </row>
    <row r="77" spans="1:27" ht="16.5" customHeight="1" thickTop="1" thickBot="1" x14ac:dyDescent="0.35">
      <c r="A77" s="35">
        <v>46266</v>
      </c>
      <c r="B77" t="s">
        <v>60</v>
      </c>
      <c r="C77">
        <v>5</v>
      </c>
      <c r="D77" t="s">
        <v>61</v>
      </c>
      <c r="E77" s="43">
        <v>61500</v>
      </c>
      <c r="F77" s="43">
        <v>3500</v>
      </c>
      <c r="G77" s="43">
        <v>53000</v>
      </c>
      <c r="H77" s="43">
        <v>0</v>
      </c>
      <c r="I77" s="43">
        <v>29000</v>
      </c>
      <c r="J77" s="43">
        <v>30000</v>
      </c>
      <c r="K77" s="43">
        <v>1000</v>
      </c>
      <c r="L77" s="43">
        <v>0</v>
      </c>
      <c r="M77" s="44">
        <f t="shared" si="14"/>
        <v>178000</v>
      </c>
      <c r="N77" s="44">
        <f t="shared" si="15"/>
        <v>5200</v>
      </c>
      <c r="O77" s="43">
        <v>102500</v>
      </c>
      <c r="P77" s="43">
        <v>0</v>
      </c>
      <c r="Q77" s="43">
        <v>9250</v>
      </c>
      <c r="R77" s="43">
        <v>2775</v>
      </c>
      <c r="S77" s="43">
        <v>0</v>
      </c>
      <c r="T77" s="43">
        <v>0</v>
      </c>
      <c r="U77" s="43">
        <v>1680</v>
      </c>
      <c r="V77" s="44">
        <f>SUM(N77:U77)</f>
        <v>121405</v>
      </c>
      <c r="W77" s="44">
        <f>M77-V77</f>
        <v>56595</v>
      </c>
      <c r="X77" s="44">
        <f t="shared" si="18"/>
        <v>7800</v>
      </c>
      <c r="Y77" s="44">
        <f t="shared" si="19"/>
        <v>1950</v>
      </c>
      <c r="Z77" s="50" t="s">
        <v>228</v>
      </c>
      <c r="AA77" s="47" t="str">
        <f t="shared" si="20"/>
        <v>46266R A A S Ranasinghe</v>
      </c>
    </row>
    <row r="78" spans="1:27" ht="16.5" customHeight="1" thickTop="1" thickBot="1" x14ac:dyDescent="0.35">
      <c r="A78" s="35">
        <v>46266</v>
      </c>
      <c r="B78" t="s">
        <v>69</v>
      </c>
      <c r="C78">
        <v>10</v>
      </c>
      <c r="D78" t="s">
        <v>70</v>
      </c>
      <c r="E78" s="43">
        <v>26500</v>
      </c>
      <c r="F78" s="43">
        <v>3500</v>
      </c>
      <c r="G78" s="43">
        <v>5000</v>
      </c>
      <c r="H78" s="43">
        <v>0</v>
      </c>
      <c r="I78" s="43">
        <v>7000</v>
      </c>
      <c r="J78" s="43">
        <v>0</v>
      </c>
      <c r="K78" s="43">
        <v>1000</v>
      </c>
      <c r="L78" s="43">
        <v>1500</v>
      </c>
      <c r="M78" s="44">
        <f t="shared" si="14"/>
        <v>44500</v>
      </c>
      <c r="N78" s="44">
        <f t="shared" si="15"/>
        <v>2400</v>
      </c>
      <c r="O78" s="43">
        <v>2500</v>
      </c>
      <c r="P78" s="43">
        <v>0</v>
      </c>
      <c r="Q78" s="43">
        <v>7500</v>
      </c>
      <c r="R78" s="43">
        <v>450</v>
      </c>
      <c r="S78" s="43">
        <v>0</v>
      </c>
      <c r="T78" s="43">
        <v>1500</v>
      </c>
      <c r="U78" s="43">
        <v>0</v>
      </c>
      <c r="V78" s="44">
        <f>SUM(N78:U78)</f>
        <v>14350</v>
      </c>
      <c r="W78" s="44">
        <f t="shared" si="17"/>
        <v>30150</v>
      </c>
      <c r="X78" s="44">
        <f t="shared" si="18"/>
        <v>3600</v>
      </c>
      <c r="Y78" s="44">
        <f t="shared" si="19"/>
        <v>900</v>
      </c>
      <c r="Z78" s="50" t="s">
        <v>202</v>
      </c>
      <c r="AA78" s="47" t="str">
        <f t="shared" si="20"/>
        <v>46266P G U N Wimalasooriya</v>
      </c>
    </row>
    <row r="79" spans="1:27" ht="16.5" customHeight="1" thickTop="1" thickBot="1" x14ac:dyDescent="0.35">
      <c r="A79" s="35">
        <v>46266</v>
      </c>
      <c r="B79" t="s">
        <v>77</v>
      </c>
      <c r="C79">
        <v>16</v>
      </c>
      <c r="D79" t="s">
        <v>78</v>
      </c>
      <c r="E79" s="43">
        <v>41500</v>
      </c>
      <c r="F79" s="43">
        <v>3500</v>
      </c>
      <c r="G79" s="43">
        <v>17000</v>
      </c>
      <c r="H79" s="43">
        <v>8000</v>
      </c>
      <c r="I79" s="43">
        <v>28980</v>
      </c>
      <c r="J79" s="43">
        <v>0</v>
      </c>
      <c r="K79" s="43">
        <v>1000</v>
      </c>
      <c r="L79" s="43">
        <v>3864</v>
      </c>
      <c r="M79" s="44">
        <f t="shared" si="14"/>
        <v>103844</v>
      </c>
      <c r="N79" s="44">
        <f t="shared" si="15"/>
        <v>3600</v>
      </c>
      <c r="O79" s="43">
        <v>17500</v>
      </c>
      <c r="P79" s="43">
        <v>0</v>
      </c>
      <c r="Q79" s="43">
        <v>12500</v>
      </c>
      <c r="R79" s="43">
        <v>3000</v>
      </c>
      <c r="S79" s="43">
        <v>0</v>
      </c>
      <c r="T79" s="43">
        <v>3864</v>
      </c>
      <c r="U79" s="43">
        <v>0</v>
      </c>
      <c r="V79" s="44">
        <f>SUM(N79:U79)</f>
        <v>40464</v>
      </c>
      <c r="W79" s="44">
        <f t="shared" si="17"/>
        <v>63380</v>
      </c>
      <c r="X79" s="44">
        <f t="shared" si="18"/>
        <v>5400</v>
      </c>
      <c r="Y79" s="44">
        <f t="shared" si="19"/>
        <v>1350</v>
      </c>
      <c r="Z79" s="50" t="s">
        <v>185</v>
      </c>
      <c r="AA79" s="47" t="str">
        <f t="shared" si="20"/>
        <v>46266N M A G M Peiris</v>
      </c>
    </row>
    <row r="80" spans="1:27" ht="16.5" customHeight="1" thickTop="1" thickBot="1" x14ac:dyDescent="0.35">
      <c r="A80" s="35">
        <v>46266</v>
      </c>
      <c r="B80" t="s">
        <v>85</v>
      </c>
      <c r="C80">
        <v>17</v>
      </c>
      <c r="D80" t="s">
        <v>86</v>
      </c>
      <c r="E80" s="43">
        <v>31500</v>
      </c>
      <c r="F80" s="43">
        <v>3500</v>
      </c>
      <c r="G80" s="43">
        <v>7500</v>
      </c>
      <c r="H80" s="43">
        <v>5000</v>
      </c>
      <c r="I80" s="43">
        <v>28980</v>
      </c>
      <c r="J80" s="43">
        <v>10000</v>
      </c>
      <c r="K80" s="43">
        <v>1000</v>
      </c>
      <c r="L80" s="43">
        <v>3260</v>
      </c>
      <c r="M80" s="44">
        <f t="shared" si="14"/>
        <v>90740</v>
      </c>
      <c r="N80" s="44">
        <f t="shared" si="15"/>
        <v>2800</v>
      </c>
      <c r="O80" s="43">
        <v>7500</v>
      </c>
      <c r="P80" s="43">
        <v>0</v>
      </c>
      <c r="Q80" s="43">
        <v>10000</v>
      </c>
      <c r="R80" s="43">
        <v>3000</v>
      </c>
      <c r="S80" s="43">
        <v>0</v>
      </c>
      <c r="T80" s="43">
        <v>3260</v>
      </c>
      <c r="U80" s="43">
        <v>0</v>
      </c>
      <c r="V80" s="44">
        <f>SUM(N80:U80)</f>
        <v>26560</v>
      </c>
      <c r="W80" s="44">
        <f t="shared" si="17"/>
        <v>64180</v>
      </c>
      <c r="X80" s="44">
        <f t="shared" si="18"/>
        <v>4200</v>
      </c>
      <c r="Y80" s="44">
        <f t="shared" si="19"/>
        <v>1050</v>
      </c>
      <c r="Z80" s="50" t="s">
        <v>229</v>
      </c>
      <c r="AA80" s="47" t="str">
        <f t="shared" si="20"/>
        <v>46266K R T Hemantha</v>
      </c>
    </row>
    <row r="81" spans="1:27" ht="16.5" customHeight="1" thickTop="1" thickBot="1" x14ac:dyDescent="0.35">
      <c r="A81" s="35">
        <v>46266</v>
      </c>
      <c r="B81" t="s">
        <v>92</v>
      </c>
      <c r="C81">
        <v>18</v>
      </c>
      <c r="D81" t="s">
        <v>93</v>
      </c>
      <c r="E81" s="43">
        <v>56500</v>
      </c>
      <c r="F81" s="43">
        <v>3500</v>
      </c>
      <c r="G81" s="43">
        <v>26000</v>
      </c>
      <c r="H81" s="43">
        <v>0</v>
      </c>
      <c r="I81" s="43">
        <v>13000</v>
      </c>
      <c r="J81" s="43">
        <v>0</v>
      </c>
      <c r="K81" s="43">
        <v>1000</v>
      </c>
      <c r="L81" s="43">
        <v>1500</v>
      </c>
      <c r="M81" s="44">
        <f t="shared" si="14"/>
        <v>101500</v>
      </c>
      <c r="N81" s="44">
        <f t="shared" si="15"/>
        <v>4800</v>
      </c>
      <c r="O81" s="43">
        <v>2500</v>
      </c>
      <c r="P81" s="43">
        <v>0</v>
      </c>
      <c r="Q81" s="43">
        <v>10000</v>
      </c>
      <c r="R81" s="43">
        <v>1200</v>
      </c>
      <c r="S81" s="43">
        <v>0</v>
      </c>
      <c r="T81" s="43">
        <v>1500</v>
      </c>
      <c r="U81" s="43">
        <v>0</v>
      </c>
      <c r="V81" s="44">
        <f>SUM(N81:U81)</f>
        <v>20000</v>
      </c>
      <c r="W81" s="44">
        <f t="shared" si="17"/>
        <v>81500</v>
      </c>
      <c r="X81" s="44">
        <f t="shared" si="18"/>
        <v>7200</v>
      </c>
      <c r="Y81" s="44">
        <f t="shared" si="19"/>
        <v>1800</v>
      </c>
      <c r="Z81" s="50" t="s">
        <v>230</v>
      </c>
      <c r="AA81" s="47" t="str">
        <f t="shared" si="20"/>
        <v>46266W M H M Weerasinghe</v>
      </c>
    </row>
    <row r="82" spans="1:27" ht="16.5" customHeight="1" thickTop="1" thickBot="1" x14ac:dyDescent="0.35">
      <c r="A82" s="35">
        <v>46266</v>
      </c>
      <c r="B82" t="s">
        <v>99</v>
      </c>
      <c r="C82">
        <v>19</v>
      </c>
      <c r="D82" t="s">
        <v>86</v>
      </c>
      <c r="E82" s="43">
        <v>36500</v>
      </c>
      <c r="F82" s="43">
        <v>3500</v>
      </c>
      <c r="G82" s="43">
        <v>7500</v>
      </c>
      <c r="H82" s="43">
        <v>5000</v>
      </c>
      <c r="I82" s="43">
        <v>28980</v>
      </c>
      <c r="J82" s="43">
        <v>10000</v>
      </c>
      <c r="K82" s="43">
        <v>1000</v>
      </c>
      <c r="L82" s="43">
        <v>8000</v>
      </c>
      <c r="M82" s="44">
        <f t="shared" si="14"/>
        <v>100480</v>
      </c>
      <c r="N82" s="44">
        <f t="shared" si="15"/>
        <v>3200</v>
      </c>
      <c r="O82" s="43">
        <v>2500</v>
      </c>
      <c r="P82" s="43">
        <v>0</v>
      </c>
      <c r="Q82" s="43">
        <v>8333.33</v>
      </c>
      <c r="R82" s="43">
        <v>249.9999</v>
      </c>
      <c r="S82" s="43"/>
      <c r="T82" s="43">
        <v>8000</v>
      </c>
      <c r="U82" s="43">
        <v>0</v>
      </c>
      <c r="V82" s="44">
        <f t="shared" si="16"/>
        <v>22283.329900000001</v>
      </c>
      <c r="W82" s="44">
        <f t="shared" si="17"/>
        <v>78196.670100000003</v>
      </c>
      <c r="X82" s="44">
        <f t="shared" si="18"/>
        <v>4800</v>
      </c>
      <c r="Y82" s="44">
        <f t="shared" si="19"/>
        <v>1200</v>
      </c>
      <c r="Z82" s="50" t="s">
        <v>231</v>
      </c>
      <c r="AA82" s="47" t="str">
        <f t="shared" si="20"/>
        <v>46266R W D S Wijerathna</v>
      </c>
    </row>
    <row r="83" spans="1:27" ht="16.5" customHeight="1" thickTop="1" thickBot="1" x14ac:dyDescent="0.35">
      <c r="A83" s="35">
        <v>46266</v>
      </c>
      <c r="B83" t="s">
        <v>103</v>
      </c>
      <c r="C83">
        <v>21</v>
      </c>
      <c r="D83" t="s">
        <v>104</v>
      </c>
      <c r="E83" s="43">
        <v>26500</v>
      </c>
      <c r="F83" s="43">
        <v>3500</v>
      </c>
      <c r="G83" s="43">
        <v>0</v>
      </c>
      <c r="H83" s="43">
        <v>0</v>
      </c>
      <c r="I83" s="43">
        <v>5000</v>
      </c>
      <c r="J83" s="43">
        <v>0</v>
      </c>
      <c r="K83" s="43">
        <v>1000</v>
      </c>
      <c r="L83" s="43">
        <v>1500</v>
      </c>
      <c r="M83" s="44">
        <f t="shared" si="14"/>
        <v>37500</v>
      </c>
      <c r="N83" s="44">
        <f t="shared" si="15"/>
        <v>2400</v>
      </c>
      <c r="O83" s="43">
        <v>4500</v>
      </c>
      <c r="P83" s="43">
        <v>0</v>
      </c>
      <c r="Q83" s="43">
        <v>6250</v>
      </c>
      <c r="R83" s="43">
        <v>750</v>
      </c>
      <c r="S83" s="43">
        <v>0</v>
      </c>
      <c r="T83" s="43">
        <v>1500</v>
      </c>
      <c r="U83" s="43">
        <v>0</v>
      </c>
      <c r="V83" s="44">
        <f t="shared" si="16"/>
        <v>15400</v>
      </c>
      <c r="W83" s="44">
        <f t="shared" si="17"/>
        <v>22100</v>
      </c>
      <c r="X83" s="44">
        <f t="shared" si="18"/>
        <v>3600</v>
      </c>
      <c r="Y83" s="44">
        <f t="shared" si="19"/>
        <v>900</v>
      </c>
      <c r="Z83" s="50" t="s">
        <v>232</v>
      </c>
      <c r="AA83" s="47" t="str">
        <f t="shared" si="20"/>
        <v>46266S Wathmi Sankalpana</v>
      </c>
    </row>
    <row r="84" spans="1:27" ht="16.5" customHeight="1" thickTop="1" thickBot="1" x14ac:dyDescent="0.35">
      <c r="A84" s="35">
        <v>46266</v>
      </c>
      <c r="B84" t="s">
        <v>110</v>
      </c>
      <c r="C84">
        <v>22</v>
      </c>
      <c r="D84" t="s">
        <v>111</v>
      </c>
      <c r="E84" s="43">
        <v>26500</v>
      </c>
      <c r="F84" s="43">
        <v>3500</v>
      </c>
      <c r="G84" s="43">
        <v>5000</v>
      </c>
      <c r="H84" s="43">
        <v>2760</v>
      </c>
      <c r="I84" s="43">
        <v>26910</v>
      </c>
      <c r="J84" s="43">
        <v>10000</v>
      </c>
      <c r="K84" s="43">
        <v>1000</v>
      </c>
      <c r="L84" s="43">
        <v>6840</v>
      </c>
      <c r="M84" s="44">
        <f t="shared" si="14"/>
        <v>82510</v>
      </c>
      <c r="N84" s="44">
        <f t="shared" si="15"/>
        <v>2400</v>
      </c>
      <c r="O84" s="43">
        <v>2500</v>
      </c>
      <c r="P84" s="43">
        <v>0</v>
      </c>
      <c r="Q84" s="43">
        <v>5000</v>
      </c>
      <c r="R84" s="43">
        <v>1650</v>
      </c>
      <c r="S84" s="43">
        <v>0</v>
      </c>
      <c r="T84" s="43">
        <v>6840</v>
      </c>
      <c r="U84" s="43">
        <v>0</v>
      </c>
      <c r="V84" s="44">
        <f t="shared" si="16"/>
        <v>18390</v>
      </c>
      <c r="W84" s="44">
        <f t="shared" si="17"/>
        <v>64120</v>
      </c>
      <c r="X84" s="44">
        <f t="shared" si="18"/>
        <v>3600</v>
      </c>
      <c r="Y84" s="44">
        <f t="shared" si="19"/>
        <v>900</v>
      </c>
      <c r="Z84" s="50" t="s">
        <v>233</v>
      </c>
      <c r="AA84" s="47" t="str">
        <f t="shared" si="20"/>
        <v>46266E M P P W O R K Jayawardana</v>
      </c>
    </row>
    <row r="85" spans="1:27" ht="16.5" customHeight="1" thickTop="1" thickBot="1" x14ac:dyDescent="0.35">
      <c r="A85" s="35">
        <v>46266</v>
      </c>
      <c r="B85" t="s">
        <v>116</v>
      </c>
      <c r="C85">
        <v>23</v>
      </c>
      <c r="D85" t="s">
        <v>111</v>
      </c>
      <c r="E85" s="43">
        <v>26500</v>
      </c>
      <c r="F85" s="43">
        <v>3500</v>
      </c>
      <c r="G85" s="43">
        <v>7000</v>
      </c>
      <c r="H85" s="43">
        <v>5000</v>
      </c>
      <c r="I85" s="43">
        <v>28980</v>
      </c>
      <c r="J85" s="43">
        <v>0</v>
      </c>
      <c r="K85" s="43">
        <v>1000</v>
      </c>
      <c r="L85" s="43">
        <v>3840</v>
      </c>
      <c r="M85" s="44">
        <f t="shared" si="14"/>
        <v>75820</v>
      </c>
      <c r="N85" s="44">
        <f t="shared" si="15"/>
        <v>2400</v>
      </c>
      <c r="O85" s="43">
        <v>7500</v>
      </c>
      <c r="P85" s="43">
        <v>0</v>
      </c>
      <c r="Q85" s="43">
        <v>0</v>
      </c>
      <c r="R85" s="43">
        <v>0</v>
      </c>
      <c r="S85" s="43">
        <v>0</v>
      </c>
      <c r="T85" s="43">
        <v>3840</v>
      </c>
      <c r="U85" s="43">
        <v>0</v>
      </c>
      <c r="V85" s="44">
        <f t="shared" si="16"/>
        <v>13740</v>
      </c>
      <c r="W85" s="44">
        <f t="shared" si="17"/>
        <v>62080</v>
      </c>
      <c r="X85" s="44">
        <f t="shared" si="18"/>
        <v>3600</v>
      </c>
      <c r="Y85" s="44">
        <f t="shared" si="19"/>
        <v>900</v>
      </c>
      <c r="Z85" s="50"/>
      <c r="AA85" s="47" t="str">
        <f t="shared" si="20"/>
        <v>46266T M R L B Thennakoon</v>
      </c>
    </row>
    <row r="86" spans="1:27" ht="16.5" customHeight="1" thickTop="1" thickBot="1" x14ac:dyDescent="0.35">
      <c r="A86" s="35">
        <v>46266</v>
      </c>
      <c r="B86" t="s">
        <v>121</v>
      </c>
      <c r="C86">
        <v>24</v>
      </c>
      <c r="D86" t="s">
        <v>86</v>
      </c>
      <c r="E86" s="43">
        <v>31500</v>
      </c>
      <c r="F86" s="43">
        <v>3500</v>
      </c>
      <c r="G86" s="43">
        <v>7500</v>
      </c>
      <c r="H86" s="43">
        <v>5000</v>
      </c>
      <c r="I86" s="43">
        <v>26910</v>
      </c>
      <c r="J86" s="43">
        <v>0</v>
      </c>
      <c r="K86" s="43">
        <v>1000</v>
      </c>
      <c r="L86" s="43">
        <v>6520</v>
      </c>
      <c r="M86" s="44">
        <f t="shared" si="14"/>
        <v>81930</v>
      </c>
      <c r="N86" s="44">
        <f t="shared" si="15"/>
        <v>2800</v>
      </c>
      <c r="O86" s="43">
        <v>2500</v>
      </c>
      <c r="P86" s="43">
        <v>0</v>
      </c>
      <c r="Q86" s="43">
        <v>0</v>
      </c>
      <c r="R86" s="43">
        <v>0</v>
      </c>
      <c r="S86" s="43">
        <v>0</v>
      </c>
      <c r="T86" s="43">
        <v>6520</v>
      </c>
      <c r="U86" s="43">
        <v>0</v>
      </c>
      <c r="V86" s="44">
        <f t="shared" si="16"/>
        <v>11820</v>
      </c>
      <c r="W86" s="44">
        <f t="shared" si="17"/>
        <v>70110</v>
      </c>
      <c r="X86" s="44">
        <f t="shared" si="18"/>
        <v>4200</v>
      </c>
      <c r="Y86" s="44">
        <f t="shared" si="19"/>
        <v>1050</v>
      </c>
      <c r="Z86" s="50"/>
      <c r="AA86" s="47" t="str">
        <f t="shared" si="20"/>
        <v>46266W K Senaverathna</v>
      </c>
    </row>
    <row r="87" spans="1:27" ht="16.5" customHeight="1" thickTop="1" thickBot="1" x14ac:dyDescent="0.35">
      <c r="A87" s="35">
        <v>46266</v>
      </c>
      <c r="B87" t="s">
        <v>127</v>
      </c>
      <c r="C87">
        <v>25</v>
      </c>
      <c r="D87" t="s">
        <v>86</v>
      </c>
      <c r="E87" s="43">
        <v>36500</v>
      </c>
      <c r="F87" s="43">
        <v>3500</v>
      </c>
      <c r="G87" s="43">
        <v>5000</v>
      </c>
      <c r="H87" s="43">
        <v>5000</v>
      </c>
      <c r="I87" s="43">
        <v>28980</v>
      </c>
      <c r="J87" s="43">
        <v>10000</v>
      </c>
      <c r="K87" s="43">
        <v>1000</v>
      </c>
      <c r="L87" s="43">
        <v>3220</v>
      </c>
      <c r="M87" s="44">
        <f t="shared" si="14"/>
        <v>93200</v>
      </c>
      <c r="N87" s="44">
        <f t="shared" si="15"/>
        <v>3200</v>
      </c>
      <c r="O87" s="43">
        <v>17500</v>
      </c>
      <c r="P87" s="43">
        <v>0</v>
      </c>
      <c r="Q87" s="43">
        <v>10000</v>
      </c>
      <c r="R87" s="43">
        <v>3000</v>
      </c>
      <c r="S87" s="43">
        <v>0</v>
      </c>
      <c r="T87" s="43">
        <v>3220</v>
      </c>
      <c r="U87" s="43">
        <v>0</v>
      </c>
      <c r="V87" s="44">
        <f t="shared" si="16"/>
        <v>36920</v>
      </c>
      <c r="W87" s="44">
        <f t="shared" si="17"/>
        <v>56280</v>
      </c>
      <c r="X87" s="44">
        <f t="shared" si="18"/>
        <v>4800</v>
      </c>
      <c r="Y87" s="44">
        <f t="shared" si="19"/>
        <v>1200</v>
      </c>
      <c r="Z87" s="50" t="s">
        <v>229</v>
      </c>
      <c r="AA87" s="47" t="str">
        <f t="shared" si="20"/>
        <v>46266D R G S L Ranaweera</v>
      </c>
    </row>
    <row r="88" spans="1:27" ht="16.5" customHeight="1" thickTop="1" thickBot="1" x14ac:dyDescent="0.35">
      <c r="A88" s="35">
        <v>46266</v>
      </c>
      <c r="B88" t="s">
        <v>132</v>
      </c>
      <c r="C88">
        <v>26</v>
      </c>
      <c r="D88" t="s">
        <v>104</v>
      </c>
      <c r="E88" s="43">
        <v>26500</v>
      </c>
      <c r="F88" s="43">
        <v>3500</v>
      </c>
      <c r="G88" s="43">
        <v>0</v>
      </c>
      <c r="H88" s="43">
        <v>0</v>
      </c>
      <c r="I88" s="43">
        <v>0</v>
      </c>
      <c r="J88" s="43">
        <v>0</v>
      </c>
      <c r="K88" s="43">
        <v>1000</v>
      </c>
      <c r="L88" s="43">
        <v>1500</v>
      </c>
      <c r="M88" s="44">
        <f t="shared" si="14"/>
        <v>32500</v>
      </c>
      <c r="N88" s="44">
        <f t="shared" si="15"/>
        <v>2400</v>
      </c>
      <c r="O88" s="43">
        <v>2500</v>
      </c>
      <c r="P88" s="43">
        <v>0</v>
      </c>
      <c r="Q88" s="43">
        <v>0</v>
      </c>
      <c r="R88" s="43">
        <v>0</v>
      </c>
      <c r="S88" s="43">
        <v>0</v>
      </c>
      <c r="T88" s="43">
        <v>1500</v>
      </c>
      <c r="U88" s="43">
        <v>0</v>
      </c>
      <c r="V88" s="44">
        <f t="shared" si="16"/>
        <v>6400</v>
      </c>
      <c r="W88" s="44">
        <f t="shared" si="17"/>
        <v>26100</v>
      </c>
      <c r="X88" s="44">
        <f t="shared" si="18"/>
        <v>3600</v>
      </c>
      <c r="Y88" s="44">
        <f t="shared" si="19"/>
        <v>900</v>
      </c>
      <c r="Z88" s="50"/>
      <c r="AA88" s="47" t="str">
        <f t="shared" si="20"/>
        <v>46266W A A Heshani Bandara</v>
      </c>
    </row>
    <row r="89" spans="1:27" ht="16.5" customHeight="1" thickTop="1" thickBot="1" x14ac:dyDescent="0.35">
      <c r="A89" s="35">
        <v>46266</v>
      </c>
      <c r="B89" t="s">
        <v>8</v>
      </c>
      <c r="C89">
        <v>27</v>
      </c>
      <c r="D89" t="s">
        <v>111</v>
      </c>
      <c r="E89" s="43">
        <v>26500</v>
      </c>
      <c r="F89" s="43">
        <v>3500</v>
      </c>
      <c r="G89" s="43">
        <v>2500</v>
      </c>
      <c r="H89" s="43">
        <v>2500</v>
      </c>
      <c r="I89" s="43">
        <v>24840</v>
      </c>
      <c r="J89" s="43">
        <v>10000</v>
      </c>
      <c r="K89" s="43">
        <v>1000</v>
      </c>
      <c r="L89" s="43">
        <v>8440</v>
      </c>
      <c r="M89" s="44">
        <f t="shared" si="14"/>
        <v>79280</v>
      </c>
      <c r="N89" s="44">
        <f t="shared" si="15"/>
        <v>2400</v>
      </c>
      <c r="O89" s="43">
        <v>2500</v>
      </c>
      <c r="P89" s="43">
        <v>0</v>
      </c>
      <c r="Q89" s="43">
        <v>10000</v>
      </c>
      <c r="R89" s="43">
        <v>2400</v>
      </c>
      <c r="S89" s="43">
        <v>0</v>
      </c>
      <c r="T89" s="43">
        <v>8440</v>
      </c>
      <c r="U89" s="43">
        <v>0</v>
      </c>
      <c r="V89" s="44">
        <f t="shared" si="16"/>
        <v>25740</v>
      </c>
      <c r="W89" s="44">
        <f t="shared" si="17"/>
        <v>53540</v>
      </c>
      <c r="X89" s="44">
        <f t="shared" si="18"/>
        <v>3600</v>
      </c>
      <c r="Y89" s="44">
        <f t="shared" si="19"/>
        <v>900</v>
      </c>
      <c r="Z89" s="50" t="s">
        <v>234</v>
      </c>
      <c r="AA89" s="47" t="str">
        <f t="shared" si="20"/>
        <v>46266D M T S Disanayake</v>
      </c>
    </row>
    <row r="90" spans="1:27" ht="16.5" customHeight="1" thickTop="1" thickBot="1" x14ac:dyDescent="0.35">
      <c r="A90" s="35">
        <v>46266</v>
      </c>
      <c r="B90" t="s">
        <v>141</v>
      </c>
      <c r="C90">
        <v>28</v>
      </c>
      <c r="D90" t="s">
        <v>86</v>
      </c>
      <c r="E90" s="43">
        <v>36500</v>
      </c>
      <c r="F90" s="43">
        <v>3500</v>
      </c>
      <c r="G90" s="43">
        <v>10000</v>
      </c>
      <c r="H90" s="43">
        <v>5000</v>
      </c>
      <c r="I90" s="43">
        <v>26910</v>
      </c>
      <c r="J90" s="43">
        <v>10000</v>
      </c>
      <c r="K90" s="43">
        <v>1000</v>
      </c>
      <c r="L90" s="43">
        <v>6720</v>
      </c>
      <c r="M90" s="44">
        <f t="shared" si="14"/>
        <v>99630</v>
      </c>
      <c r="N90" s="44">
        <f t="shared" si="15"/>
        <v>3200</v>
      </c>
      <c r="O90" s="43">
        <v>17500</v>
      </c>
      <c r="P90" s="43">
        <v>0</v>
      </c>
      <c r="Q90" s="43">
        <v>0</v>
      </c>
      <c r="R90" s="43">
        <v>0</v>
      </c>
      <c r="S90" s="43">
        <v>0</v>
      </c>
      <c r="T90" s="43">
        <v>6720</v>
      </c>
      <c r="U90" s="43">
        <v>0</v>
      </c>
      <c r="V90" s="44">
        <f t="shared" si="16"/>
        <v>27420</v>
      </c>
      <c r="W90" s="44">
        <f t="shared" si="17"/>
        <v>72210</v>
      </c>
      <c r="X90" s="44">
        <f t="shared" si="18"/>
        <v>4800</v>
      </c>
      <c r="Y90" s="44">
        <f t="shared" si="19"/>
        <v>1200</v>
      </c>
      <c r="Z90" s="50"/>
      <c r="AA90" s="47" t="str">
        <f t="shared" si="20"/>
        <v>46266P L D B Wijewardhna</v>
      </c>
    </row>
    <row r="91" spans="1:27" ht="16.5" customHeight="1" thickTop="1" thickBot="1" x14ac:dyDescent="0.35">
      <c r="A91" s="35">
        <v>46266</v>
      </c>
      <c r="B91" t="s">
        <v>146</v>
      </c>
      <c r="C91">
        <v>29</v>
      </c>
      <c r="D91" t="s">
        <v>111</v>
      </c>
      <c r="E91" s="43">
        <v>26500</v>
      </c>
      <c r="F91" s="43">
        <v>3500</v>
      </c>
      <c r="G91" s="43">
        <v>5000</v>
      </c>
      <c r="H91" s="43">
        <v>5000</v>
      </c>
      <c r="I91" s="43">
        <v>18630</v>
      </c>
      <c r="J91" s="43">
        <v>0</v>
      </c>
      <c r="K91" s="43">
        <v>1000</v>
      </c>
      <c r="L91" s="43">
        <v>1500</v>
      </c>
      <c r="M91" s="44">
        <f t="shared" si="14"/>
        <v>61130</v>
      </c>
      <c r="N91" s="44">
        <f t="shared" si="15"/>
        <v>2400</v>
      </c>
      <c r="O91" s="43">
        <v>14500</v>
      </c>
      <c r="P91" s="43">
        <v>0</v>
      </c>
      <c r="Q91" s="43">
        <v>0</v>
      </c>
      <c r="R91" s="43">
        <v>0</v>
      </c>
      <c r="S91" s="43">
        <v>0</v>
      </c>
      <c r="T91" s="43">
        <v>1500</v>
      </c>
      <c r="U91" s="43">
        <v>0</v>
      </c>
      <c r="V91" s="44">
        <f t="shared" si="16"/>
        <v>18400</v>
      </c>
      <c r="W91" s="44">
        <f t="shared" si="17"/>
        <v>42730</v>
      </c>
      <c r="X91" s="44">
        <f t="shared" si="18"/>
        <v>3600</v>
      </c>
      <c r="Y91" s="44">
        <f t="shared" si="19"/>
        <v>900</v>
      </c>
      <c r="Z91" s="50"/>
      <c r="AA91" s="47" t="str">
        <f t="shared" si="20"/>
        <v>46266N G L D Supunsiri</v>
      </c>
    </row>
    <row r="92" spans="1:27" ht="16.5" customHeight="1" thickTop="1" thickBot="1" x14ac:dyDescent="0.35">
      <c r="A92" s="35" t="s">
        <v>207</v>
      </c>
      <c r="B92" t="s">
        <v>60</v>
      </c>
      <c r="C92">
        <v>5</v>
      </c>
      <c r="D92" t="s">
        <v>61</v>
      </c>
      <c r="E92" s="43">
        <v>61500</v>
      </c>
      <c r="F92" s="43">
        <v>3500</v>
      </c>
      <c r="G92" s="43">
        <v>53000</v>
      </c>
      <c r="H92" s="43">
        <v>0</v>
      </c>
      <c r="I92" s="43">
        <v>29000</v>
      </c>
      <c r="J92" s="43">
        <v>30000</v>
      </c>
      <c r="K92" s="43">
        <v>1000</v>
      </c>
      <c r="L92" s="43">
        <v>0</v>
      </c>
      <c r="M92" s="44">
        <f t="shared" si="14"/>
        <v>178000</v>
      </c>
      <c r="N92" s="44">
        <f t="shared" si="15"/>
        <v>5200</v>
      </c>
      <c r="O92" s="43">
        <v>101850</v>
      </c>
      <c r="P92" s="43">
        <v>0</v>
      </c>
      <c r="Q92" s="43">
        <v>9250</v>
      </c>
      <c r="R92" s="43">
        <v>2590</v>
      </c>
      <c r="S92" s="43">
        <v>0</v>
      </c>
      <c r="T92" s="43">
        <v>0</v>
      </c>
      <c r="U92" s="43">
        <v>1680</v>
      </c>
      <c r="V92" s="44">
        <f t="shared" si="16"/>
        <v>120570</v>
      </c>
      <c r="W92" s="44">
        <f t="shared" si="17"/>
        <v>57430</v>
      </c>
      <c r="X92" s="44">
        <f t="shared" si="18"/>
        <v>7800</v>
      </c>
      <c r="Y92" s="44">
        <f t="shared" si="19"/>
        <v>1950</v>
      </c>
      <c r="Z92" s="50"/>
      <c r="AA92" s="47" t="str">
        <f t="shared" si="20"/>
        <v>October 2026R A A S Ranasinghe</v>
      </c>
    </row>
    <row r="93" spans="1:27" ht="16.5" customHeight="1" thickTop="1" thickBot="1" x14ac:dyDescent="0.35">
      <c r="A93" s="35" t="s">
        <v>207</v>
      </c>
      <c r="B93" t="s">
        <v>69</v>
      </c>
      <c r="C93">
        <v>10</v>
      </c>
      <c r="D93" t="s">
        <v>70</v>
      </c>
      <c r="E93" s="43">
        <v>26500</v>
      </c>
      <c r="F93" s="43">
        <v>3500</v>
      </c>
      <c r="G93" s="43">
        <v>5000</v>
      </c>
      <c r="H93" s="43">
        <v>0</v>
      </c>
      <c r="I93" s="43">
        <v>7000</v>
      </c>
      <c r="J93" s="43">
        <v>0</v>
      </c>
      <c r="K93" s="43">
        <v>1000</v>
      </c>
      <c r="L93" s="43">
        <v>4382.5292845833337</v>
      </c>
      <c r="M93" s="44">
        <f t="shared" si="14"/>
        <v>47382.529284583332</v>
      </c>
      <c r="N93" s="44">
        <f t="shared" si="15"/>
        <v>2400</v>
      </c>
      <c r="O93" s="43">
        <v>5350</v>
      </c>
      <c r="P93" s="43">
        <v>0</v>
      </c>
      <c r="Q93" s="43">
        <v>7500</v>
      </c>
      <c r="R93" s="43">
        <v>225</v>
      </c>
      <c r="S93" s="43">
        <v>0</v>
      </c>
      <c r="T93" s="43">
        <v>4382.5292845833337</v>
      </c>
      <c r="U93" s="43">
        <v>0</v>
      </c>
      <c r="V93" s="44">
        <f t="shared" si="16"/>
        <v>19857.529284583332</v>
      </c>
      <c r="W93" s="44">
        <f t="shared" si="17"/>
        <v>27525</v>
      </c>
      <c r="X93" s="44">
        <f t="shared" si="18"/>
        <v>3600</v>
      </c>
      <c r="Y93" s="44">
        <f t="shared" si="19"/>
        <v>900</v>
      </c>
      <c r="Z93" s="50"/>
      <c r="AA93" s="47" t="str">
        <f t="shared" si="20"/>
        <v>October 2026P G U N Wimalasooriya</v>
      </c>
    </row>
    <row r="94" spans="1:27" ht="16.5" customHeight="1" thickTop="1" thickBot="1" x14ac:dyDescent="0.35">
      <c r="A94" s="35" t="s">
        <v>207</v>
      </c>
      <c r="B94" t="s">
        <v>77</v>
      </c>
      <c r="C94">
        <v>16</v>
      </c>
      <c r="D94" t="s">
        <v>78</v>
      </c>
      <c r="E94" s="43">
        <v>41500</v>
      </c>
      <c r="F94" s="43">
        <v>3500</v>
      </c>
      <c r="G94" s="43">
        <v>17000</v>
      </c>
      <c r="H94" s="43">
        <v>8000</v>
      </c>
      <c r="I94" s="43">
        <v>28980</v>
      </c>
      <c r="J94" s="43">
        <v>0</v>
      </c>
      <c r="K94" s="43">
        <v>1000</v>
      </c>
      <c r="L94" s="43">
        <v>19899.09</v>
      </c>
      <c r="M94" s="44">
        <f t="shared" si="14"/>
        <v>119879.09</v>
      </c>
      <c r="N94" s="44">
        <f t="shared" si="15"/>
        <v>3600</v>
      </c>
      <c r="O94" s="43">
        <v>37850</v>
      </c>
      <c r="P94" s="43">
        <v>0</v>
      </c>
      <c r="Q94" s="43">
        <v>12500</v>
      </c>
      <c r="R94" s="43">
        <v>2625</v>
      </c>
      <c r="S94" s="43">
        <v>0</v>
      </c>
      <c r="T94" s="43">
        <v>19899.09</v>
      </c>
      <c r="U94" s="43">
        <v>0</v>
      </c>
      <c r="V94" s="44">
        <f t="shared" si="16"/>
        <v>76474.09</v>
      </c>
      <c r="W94" s="44">
        <f t="shared" si="17"/>
        <v>43405</v>
      </c>
      <c r="X94" s="44">
        <f t="shared" si="18"/>
        <v>5400</v>
      </c>
      <c r="Y94" s="44">
        <f t="shared" si="19"/>
        <v>1350</v>
      </c>
      <c r="Z94" s="50"/>
      <c r="AA94" s="47" t="str">
        <f t="shared" si="20"/>
        <v>October 2026N M A G M Peiris</v>
      </c>
    </row>
    <row r="95" spans="1:27" ht="16.5" customHeight="1" thickTop="1" thickBot="1" x14ac:dyDescent="0.35">
      <c r="A95" s="35" t="s">
        <v>207</v>
      </c>
      <c r="B95" t="s">
        <v>85</v>
      </c>
      <c r="C95">
        <v>17</v>
      </c>
      <c r="D95" t="s">
        <v>86</v>
      </c>
      <c r="E95" s="43">
        <v>31500</v>
      </c>
      <c r="F95" s="43">
        <v>3500</v>
      </c>
      <c r="G95" s="43">
        <v>7500</v>
      </c>
      <c r="H95" s="43">
        <v>5000</v>
      </c>
      <c r="I95" s="43">
        <v>28980</v>
      </c>
      <c r="J95" s="43">
        <v>10000</v>
      </c>
      <c r="K95" s="43">
        <v>1000</v>
      </c>
      <c r="L95" s="43">
        <v>15167.33</v>
      </c>
      <c r="M95" s="44">
        <f t="shared" si="14"/>
        <v>102647.33</v>
      </c>
      <c r="N95" s="44">
        <f t="shared" si="15"/>
        <v>2800</v>
      </c>
      <c r="O95" s="43">
        <v>12850</v>
      </c>
      <c r="P95" s="43">
        <v>0</v>
      </c>
      <c r="Q95" s="43">
        <v>10000</v>
      </c>
      <c r="R95" s="43">
        <v>2700</v>
      </c>
      <c r="S95" s="43">
        <v>0</v>
      </c>
      <c r="T95" s="43">
        <v>15167.33</v>
      </c>
      <c r="U95" s="43">
        <v>0</v>
      </c>
      <c r="V95" s="44">
        <f t="shared" si="16"/>
        <v>43517.33</v>
      </c>
      <c r="W95" s="44">
        <f t="shared" si="17"/>
        <v>59130</v>
      </c>
      <c r="X95" s="44">
        <f t="shared" si="18"/>
        <v>4200</v>
      </c>
      <c r="Y95" s="44">
        <f t="shared" si="19"/>
        <v>1050</v>
      </c>
      <c r="Z95" s="50"/>
      <c r="AA95" s="47" t="str">
        <f t="shared" si="20"/>
        <v>October 2026K R T Hemantha</v>
      </c>
    </row>
    <row r="96" spans="1:27" ht="16.5" customHeight="1" thickTop="1" thickBot="1" x14ac:dyDescent="0.35">
      <c r="A96" s="35" t="s">
        <v>207</v>
      </c>
      <c r="B96" t="s">
        <v>92</v>
      </c>
      <c r="C96">
        <v>18</v>
      </c>
      <c r="D96" t="s">
        <v>93</v>
      </c>
      <c r="E96" s="43">
        <v>56500</v>
      </c>
      <c r="F96" s="43">
        <v>3500</v>
      </c>
      <c r="G96" s="43">
        <v>26000</v>
      </c>
      <c r="H96" s="43">
        <v>0</v>
      </c>
      <c r="I96" s="43">
        <v>13000</v>
      </c>
      <c r="J96" s="43">
        <v>0</v>
      </c>
      <c r="K96" s="43">
        <v>1000</v>
      </c>
      <c r="L96" s="43">
        <v>4382.5292845833337</v>
      </c>
      <c r="M96" s="44">
        <f t="shared" si="14"/>
        <v>104382.52928458333</v>
      </c>
      <c r="N96" s="44">
        <f t="shared" si="15"/>
        <v>4800</v>
      </c>
      <c r="O96" s="43">
        <v>51850</v>
      </c>
      <c r="P96" s="43">
        <v>0</v>
      </c>
      <c r="Q96" s="43">
        <v>10000</v>
      </c>
      <c r="R96" s="43">
        <v>900</v>
      </c>
      <c r="S96" s="43">
        <v>0</v>
      </c>
      <c r="T96" s="43">
        <v>4382.5292845833337</v>
      </c>
      <c r="U96" s="43">
        <v>0</v>
      </c>
      <c r="V96" s="44">
        <f t="shared" si="16"/>
        <v>71932.529284583332</v>
      </c>
      <c r="W96" s="44">
        <f t="shared" si="17"/>
        <v>32450</v>
      </c>
      <c r="X96" s="44">
        <f t="shared" si="18"/>
        <v>7200</v>
      </c>
      <c r="Y96" s="44">
        <f t="shared" si="19"/>
        <v>1800</v>
      </c>
      <c r="Z96" s="50"/>
      <c r="AA96" s="47" t="str">
        <f t="shared" si="20"/>
        <v>October 2026W M H M Weerasinghe</v>
      </c>
    </row>
    <row r="97" spans="1:27" ht="16.5" customHeight="1" thickTop="1" thickBot="1" x14ac:dyDescent="0.35">
      <c r="A97" s="35" t="s">
        <v>207</v>
      </c>
      <c r="B97" t="s">
        <v>99</v>
      </c>
      <c r="C97">
        <v>19</v>
      </c>
      <c r="D97" t="s">
        <v>86</v>
      </c>
      <c r="E97" s="43">
        <v>36500</v>
      </c>
      <c r="F97" s="43">
        <v>3500</v>
      </c>
      <c r="G97" s="43">
        <v>7500</v>
      </c>
      <c r="H97" s="43">
        <v>5000</v>
      </c>
      <c r="I97" s="43">
        <v>28980</v>
      </c>
      <c r="J97" s="43">
        <v>10000</v>
      </c>
      <c r="K97" s="43">
        <v>1000</v>
      </c>
      <c r="L97" s="43">
        <v>11195.698333333334</v>
      </c>
      <c r="M97" s="44">
        <f t="shared" si="14"/>
        <v>103675.69833333333</v>
      </c>
      <c r="N97" s="44">
        <f t="shared" si="15"/>
        <v>3200</v>
      </c>
      <c r="O97" s="43">
        <v>1850</v>
      </c>
      <c r="P97" s="43">
        <v>0</v>
      </c>
      <c r="Q97" s="43">
        <v>0</v>
      </c>
      <c r="R97" s="43">
        <v>0</v>
      </c>
      <c r="S97" s="43">
        <v>0</v>
      </c>
      <c r="T97" s="43">
        <v>11195.698333333334</v>
      </c>
      <c r="U97" s="43">
        <v>0</v>
      </c>
      <c r="V97" s="44">
        <f t="shared" si="16"/>
        <v>16245.698333333334</v>
      </c>
      <c r="W97" s="44">
        <f t="shared" si="17"/>
        <v>87430</v>
      </c>
      <c r="X97" s="44">
        <f t="shared" si="18"/>
        <v>4800</v>
      </c>
      <c r="Y97" s="44">
        <f t="shared" si="19"/>
        <v>1200</v>
      </c>
      <c r="Z97" s="50"/>
      <c r="AA97" s="47" t="str">
        <f t="shared" si="20"/>
        <v>October 2026R W D S Wijerathna</v>
      </c>
    </row>
    <row r="98" spans="1:27" ht="16.5" customHeight="1" thickTop="1" thickBot="1" x14ac:dyDescent="0.35">
      <c r="A98" s="35" t="s">
        <v>207</v>
      </c>
      <c r="B98" t="s">
        <v>103</v>
      </c>
      <c r="C98">
        <v>21</v>
      </c>
      <c r="D98" t="s">
        <v>104</v>
      </c>
      <c r="E98" s="43">
        <v>26500</v>
      </c>
      <c r="F98" s="43">
        <v>3500</v>
      </c>
      <c r="G98" s="43">
        <v>0</v>
      </c>
      <c r="H98" s="43">
        <v>0</v>
      </c>
      <c r="I98" s="43">
        <v>5000</v>
      </c>
      <c r="J98" s="43">
        <v>0</v>
      </c>
      <c r="K98" s="43">
        <v>1000</v>
      </c>
      <c r="L98" s="43">
        <v>4382.5292845833337</v>
      </c>
      <c r="M98" s="44">
        <f t="shared" ref="M98:M129" si="21">SUM(E98:L98)</f>
        <v>40382.529284583332</v>
      </c>
      <c r="N98" s="44">
        <f t="shared" ref="N98:N129" si="22">(E98+F98)*8%</f>
        <v>2400</v>
      </c>
      <c r="O98" s="43">
        <v>3850</v>
      </c>
      <c r="P98" s="43">
        <v>0</v>
      </c>
      <c r="Q98" s="43">
        <v>6250</v>
      </c>
      <c r="R98" s="43">
        <v>562.5</v>
      </c>
      <c r="S98" s="43">
        <v>0</v>
      </c>
      <c r="T98" s="43">
        <v>4382.5292845833337</v>
      </c>
      <c r="U98" s="43">
        <v>0</v>
      </c>
      <c r="V98" s="44">
        <f t="shared" ref="V98:V129" si="23">SUM(N98:U98)</f>
        <v>17445.029284583332</v>
      </c>
      <c r="W98" s="44">
        <f t="shared" ref="W98:W129" si="24">M98-V98</f>
        <v>22937.5</v>
      </c>
      <c r="X98" s="44">
        <f t="shared" ref="X98:X129" si="25">(E98+F98)*12%</f>
        <v>3600</v>
      </c>
      <c r="Y98" s="44">
        <f t="shared" ref="Y98:Y129" si="26">(E98+F98)*3%</f>
        <v>900</v>
      </c>
      <c r="Z98" s="50"/>
      <c r="AA98" s="47" t="str">
        <f t="shared" ref="AA98:AA129" si="27">A98&amp;B98</f>
        <v>October 2026S Wathmi Sankalpana</v>
      </c>
    </row>
    <row r="99" spans="1:27" ht="16.5" customHeight="1" thickTop="1" thickBot="1" x14ac:dyDescent="0.35">
      <c r="A99" s="35" t="s">
        <v>207</v>
      </c>
      <c r="B99" t="s">
        <v>110</v>
      </c>
      <c r="C99">
        <v>22</v>
      </c>
      <c r="D99" t="s">
        <v>111</v>
      </c>
      <c r="E99" s="43">
        <v>26500</v>
      </c>
      <c r="F99" s="43">
        <v>3500</v>
      </c>
      <c r="G99" s="43">
        <v>5000</v>
      </c>
      <c r="H99" s="43">
        <v>2760</v>
      </c>
      <c r="I99" s="43">
        <v>26910</v>
      </c>
      <c r="J99" s="43">
        <v>10000</v>
      </c>
      <c r="K99" s="43">
        <v>1000</v>
      </c>
      <c r="L99" s="43">
        <v>15081.56</v>
      </c>
      <c r="M99" s="44">
        <f t="shared" si="21"/>
        <v>90751.56</v>
      </c>
      <c r="N99" s="44">
        <f t="shared" si="22"/>
        <v>2400</v>
      </c>
      <c r="O99" s="43">
        <v>11850</v>
      </c>
      <c r="P99" s="43">
        <v>0</v>
      </c>
      <c r="Q99" s="43">
        <v>5000</v>
      </c>
      <c r="R99" s="43">
        <v>1500</v>
      </c>
      <c r="S99" s="43">
        <v>0</v>
      </c>
      <c r="T99" s="43">
        <v>15081.56</v>
      </c>
      <c r="U99" s="43">
        <v>0</v>
      </c>
      <c r="V99" s="44">
        <f t="shared" si="23"/>
        <v>35831.56</v>
      </c>
      <c r="W99" s="44">
        <f t="shared" si="24"/>
        <v>54920</v>
      </c>
      <c r="X99" s="44">
        <f t="shared" si="25"/>
        <v>3600</v>
      </c>
      <c r="Y99" s="44">
        <f t="shared" si="26"/>
        <v>900</v>
      </c>
      <c r="Z99" s="50"/>
      <c r="AA99" s="47" t="str">
        <f t="shared" si="27"/>
        <v>October 2026E M P P W O R K Jayawardana</v>
      </c>
    </row>
    <row r="100" spans="1:27" ht="16.5" customHeight="1" thickTop="1" thickBot="1" x14ac:dyDescent="0.35">
      <c r="A100" s="35" t="s">
        <v>207</v>
      </c>
      <c r="B100" t="s">
        <v>116</v>
      </c>
      <c r="C100">
        <v>23</v>
      </c>
      <c r="D100" t="s">
        <v>111</v>
      </c>
      <c r="E100" s="43">
        <v>26500</v>
      </c>
      <c r="F100" s="43">
        <v>3500</v>
      </c>
      <c r="G100" s="43">
        <v>7000</v>
      </c>
      <c r="H100" s="43">
        <v>5000</v>
      </c>
      <c r="I100" s="43">
        <v>28980</v>
      </c>
      <c r="J100" s="43">
        <v>0</v>
      </c>
      <c r="K100" s="43">
        <v>1000</v>
      </c>
      <c r="L100" s="43">
        <v>17222.8</v>
      </c>
      <c r="M100" s="44">
        <f t="shared" si="21"/>
        <v>89202.8</v>
      </c>
      <c r="N100" s="44">
        <f t="shared" si="22"/>
        <v>2400</v>
      </c>
      <c r="O100" s="43">
        <v>7850</v>
      </c>
      <c r="P100" s="43">
        <v>0</v>
      </c>
      <c r="Q100" s="43">
        <v>0</v>
      </c>
      <c r="R100" s="43">
        <v>0</v>
      </c>
      <c r="S100" s="43">
        <v>0</v>
      </c>
      <c r="T100" s="43">
        <v>17222.8</v>
      </c>
      <c r="U100" s="43">
        <v>0</v>
      </c>
      <c r="V100" s="44">
        <f t="shared" si="23"/>
        <v>27472.799999999999</v>
      </c>
      <c r="W100" s="44">
        <f t="shared" si="24"/>
        <v>61730</v>
      </c>
      <c r="X100" s="44">
        <f t="shared" si="25"/>
        <v>3600</v>
      </c>
      <c r="Y100" s="44">
        <f t="shared" si="26"/>
        <v>900</v>
      </c>
      <c r="Z100" s="50"/>
      <c r="AA100" s="47" t="str">
        <f t="shared" si="27"/>
        <v>October 2026T M R L B Thennakoon</v>
      </c>
    </row>
    <row r="101" spans="1:27" ht="16.5" customHeight="1" thickTop="1" thickBot="1" x14ac:dyDescent="0.35">
      <c r="A101" s="35" t="s">
        <v>207</v>
      </c>
      <c r="B101" t="s">
        <v>121</v>
      </c>
      <c r="C101">
        <v>24</v>
      </c>
      <c r="D101" t="s">
        <v>86</v>
      </c>
      <c r="E101" s="43">
        <v>31500</v>
      </c>
      <c r="F101" s="43">
        <v>3500</v>
      </c>
      <c r="G101" s="43">
        <v>7500</v>
      </c>
      <c r="H101" s="43">
        <v>5000</v>
      </c>
      <c r="I101" s="43">
        <v>26910</v>
      </c>
      <c r="J101" s="43">
        <v>0</v>
      </c>
      <c r="K101" s="43">
        <v>1000</v>
      </c>
      <c r="L101" s="43">
        <v>10292.66</v>
      </c>
      <c r="M101" s="44">
        <f t="shared" si="21"/>
        <v>85702.66</v>
      </c>
      <c r="N101" s="44">
        <f t="shared" si="22"/>
        <v>2800</v>
      </c>
      <c r="O101" s="43">
        <v>6850</v>
      </c>
      <c r="P101" s="43">
        <v>0</v>
      </c>
      <c r="Q101" s="43">
        <v>0</v>
      </c>
      <c r="R101" s="43">
        <v>0</v>
      </c>
      <c r="S101" s="43">
        <v>0</v>
      </c>
      <c r="T101" s="43">
        <v>10292.66</v>
      </c>
      <c r="U101" s="43">
        <v>0</v>
      </c>
      <c r="V101" s="44">
        <f t="shared" si="23"/>
        <v>19942.66</v>
      </c>
      <c r="W101" s="44">
        <f t="shared" si="24"/>
        <v>65760</v>
      </c>
      <c r="X101" s="44">
        <f t="shared" si="25"/>
        <v>4200</v>
      </c>
      <c r="Y101" s="44">
        <f t="shared" si="26"/>
        <v>1050</v>
      </c>
      <c r="Z101" s="50"/>
      <c r="AA101" s="47" t="str">
        <f t="shared" si="27"/>
        <v>October 2026W K Senaverathna</v>
      </c>
    </row>
    <row r="102" spans="1:27" ht="16.5" customHeight="1" thickTop="1" thickBot="1" x14ac:dyDescent="0.35">
      <c r="A102" s="35" t="s">
        <v>207</v>
      </c>
      <c r="B102" t="s">
        <v>127</v>
      </c>
      <c r="C102">
        <v>25</v>
      </c>
      <c r="D102" t="s">
        <v>86</v>
      </c>
      <c r="E102" s="43">
        <v>36500</v>
      </c>
      <c r="F102" s="43">
        <v>3500</v>
      </c>
      <c r="G102" s="43">
        <v>5000</v>
      </c>
      <c r="H102" s="43">
        <v>5000</v>
      </c>
      <c r="I102" s="43">
        <v>28980</v>
      </c>
      <c r="J102" s="43">
        <v>10000</v>
      </c>
      <c r="K102" s="43">
        <v>1000</v>
      </c>
      <c r="L102" s="43">
        <v>7511.88</v>
      </c>
      <c r="M102" s="44">
        <f t="shared" si="21"/>
        <v>97491.88</v>
      </c>
      <c r="N102" s="44">
        <f t="shared" si="22"/>
        <v>3200</v>
      </c>
      <c r="O102" s="43">
        <v>21850</v>
      </c>
      <c r="P102" s="43">
        <v>0</v>
      </c>
      <c r="Q102" s="43">
        <v>10000</v>
      </c>
      <c r="R102" s="43">
        <v>2700</v>
      </c>
      <c r="S102" s="43">
        <v>0</v>
      </c>
      <c r="T102" s="43">
        <v>7511.88</v>
      </c>
      <c r="U102" s="43">
        <v>0</v>
      </c>
      <c r="V102" s="44">
        <f t="shared" si="23"/>
        <v>45261.88</v>
      </c>
      <c r="W102" s="44">
        <f t="shared" si="24"/>
        <v>52230.000000000007</v>
      </c>
      <c r="X102" s="44">
        <f t="shared" si="25"/>
        <v>4800</v>
      </c>
      <c r="Y102" s="44">
        <f t="shared" si="26"/>
        <v>1200</v>
      </c>
      <c r="Z102" s="50"/>
      <c r="AA102" s="47" t="str">
        <f t="shared" si="27"/>
        <v>October 2026D R G S L Ranaweera</v>
      </c>
    </row>
    <row r="103" spans="1:27" ht="16.5" customHeight="1" thickTop="1" thickBot="1" x14ac:dyDescent="0.35">
      <c r="A103" s="35" t="s">
        <v>207</v>
      </c>
      <c r="B103" t="s">
        <v>132</v>
      </c>
      <c r="C103">
        <v>26</v>
      </c>
      <c r="D103" t="s">
        <v>104</v>
      </c>
      <c r="E103" s="43">
        <v>26500</v>
      </c>
      <c r="F103" s="43">
        <v>3500</v>
      </c>
      <c r="G103" s="43">
        <v>0</v>
      </c>
      <c r="H103" s="43">
        <v>0</v>
      </c>
      <c r="I103" s="43">
        <v>0</v>
      </c>
      <c r="J103" s="43">
        <v>0</v>
      </c>
      <c r="K103" s="43">
        <v>1000</v>
      </c>
      <c r="L103" s="43">
        <v>4382.5292845833337</v>
      </c>
      <c r="M103" s="44">
        <f t="shared" si="21"/>
        <v>35382.529284583332</v>
      </c>
      <c r="N103" s="44">
        <f t="shared" si="22"/>
        <v>2400</v>
      </c>
      <c r="O103" s="43">
        <v>1850</v>
      </c>
      <c r="P103" s="43">
        <v>0</v>
      </c>
      <c r="Q103" s="43">
        <v>0</v>
      </c>
      <c r="R103" s="43">
        <v>0</v>
      </c>
      <c r="S103" s="43">
        <v>0</v>
      </c>
      <c r="T103" s="43">
        <v>4382.5292845833337</v>
      </c>
      <c r="U103" s="43">
        <v>0</v>
      </c>
      <c r="V103" s="44">
        <f t="shared" si="23"/>
        <v>8632.5292845833337</v>
      </c>
      <c r="W103" s="44">
        <f t="shared" si="24"/>
        <v>26750</v>
      </c>
      <c r="X103" s="44">
        <f t="shared" si="25"/>
        <v>3600</v>
      </c>
      <c r="Y103" s="44">
        <f t="shared" si="26"/>
        <v>900</v>
      </c>
      <c r="Z103" s="50"/>
      <c r="AA103" s="47" t="str">
        <f t="shared" si="27"/>
        <v>October 2026W A A Heshani Bandara</v>
      </c>
    </row>
    <row r="104" spans="1:27" ht="16.5" customHeight="1" thickTop="1" thickBot="1" x14ac:dyDescent="0.35">
      <c r="A104" s="35" t="s">
        <v>207</v>
      </c>
      <c r="B104" t="s">
        <v>8</v>
      </c>
      <c r="C104">
        <v>27</v>
      </c>
      <c r="D104" t="s">
        <v>111</v>
      </c>
      <c r="E104" s="43">
        <v>26500</v>
      </c>
      <c r="F104" s="43">
        <v>3500</v>
      </c>
      <c r="G104" s="43">
        <v>2500</v>
      </c>
      <c r="H104" s="43">
        <v>2500</v>
      </c>
      <c r="I104" s="43">
        <v>24840</v>
      </c>
      <c r="J104" s="43">
        <v>10000</v>
      </c>
      <c r="K104" s="43">
        <v>1000</v>
      </c>
      <c r="L104" s="43">
        <v>14744.48</v>
      </c>
      <c r="M104" s="44">
        <f t="shared" si="21"/>
        <v>85584.48</v>
      </c>
      <c r="N104" s="44">
        <f t="shared" si="22"/>
        <v>2400</v>
      </c>
      <c r="O104" s="43">
        <v>12850</v>
      </c>
      <c r="P104" s="43">
        <v>0</v>
      </c>
      <c r="Q104" s="43">
        <v>10000</v>
      </c>
      <c r="R104" s="43">
        <v>2100</v>
      </c>
      <c r="S104" s="43">
        <v>0</v>
      </c>
      <c r="T104" s="43">
        <v>14744.48</v>
      </c>
      <c r="U104" s="43">
        <v>0</v>
      </c>
      <c r="V104" s="44">
        <f t="shared" si="23"/>
        <v>42094.479999999996</v>
      </c>
      <c r="W104" s="44">
        <f t="shared" si="24"/>
        <v>43490</v>
      </c>
      <c r="X104" s="44">
        <f t="shared" si="25"/>
        <v>3600</v>
      </c>
      <c r="Y104" s="44">
        <f t="shared" si="26"/>
        <v>900</v>
      </c>
      <c r="Z104" s="50"/>
      <c r="AA104" s="47" t="str">
        <f t="shared" si="27"/>
        <v>October 2026D M T S Disanayake</v>
      </c>
    </row>
    <row r="105" spans="1:27" ht="16.5" customHeight="1" thickTop="1" thickBot="1" x14ac:dyDescent="0.35">
      <c r="A105" s="35" t="s">
        <v>207</v>
      </c>
      <c r="B105" t="s">
        <v>141</v>
      </c>
      <c r="C105">
        <v>28</v>
      </c>
      <c r="D105" t="s">
        <v>86</v>
      </c>
      <c r="E105" s="43">
        <v>36500</v>
      </c>
      <c r="F105" s="43">
        <v>3500</v>
      </c>
      <c r="G105" s="43">
        <v>10000</v>
      </c>
      <c r="H105" s="43">
        <v>5000</v>
      </c>
      <c r="I105" s="43">
        <v>26910</v>
      </c>
      <c r="J105" s="43">
        <v>10000</v>
      </c>
      <c r="K105" s="43">
        <v>1000</v>
      </c>
      <c r="L105" s="43">
        <v>13958.68</v>
      </c>
      <c r="M105" s="44">
        <f t="shared" si="21"/>
        <v>106868.68</v>
      </c>
      <c r="N105" s="44">
        <f t="shared" si="22"/>
        <v>3200</v>
      </c>
      <c r="O105" s="43">
        <v>11850</v>
      </c>
      <c r="P105" s="43">
        <v>0</v>
      </c>
      <c r="Q105" s="43">
        <v>10000</v>
      </c>
      <c r="R105" s="43">
        <v>1500</v>
      </c>
      <c r="S105" s="43">
        <v>0</v>
      </c>
      <c r="T105" s="43">
        <v>13958.68</v>
      </c>
      <c r="U105" s="43">
        <v>0</v>
      </c>
      <c r="V105" s="44">
        <f t="shared" si="23"/>
        <v>40508.68</v>
      </c>
      <c r="W105" s="44">
        <f t="shared" si="24"/>
        <v>66360</v>
      </c>
      <c r="X105" s="44">
        <f t="shared" si="25"/>
        <v>4800</v>
      </c>
      <c r="Y105" s="44">
        <f t="shared" si="26"/>
        <v>1200</v>
      </c>
      <c r="Z105" s="50"/>
      <c r="AA105" s="47" t="str">
        <f t="shared" si="27"/>
        <v>October 2026P L D B Wijewardhna</v>
      </c>
    </row>
    <row r="106" spans="1:27" ht="16.5" customHeight="1" thickTop="1" thickBot="1" x14ac:dyDescent="0.35">
      <c r="A106" s="35" t="s">
        <v>207</v>
      </c>
      <c r="B106" t="s">
        <v>146</v>
      </c>
      <c r="C106">
        <v>29</v>
      </c>
      <c r="D106" t="s">
        <v>111</v>
      </c>
      <c r="E106" s="43">
        <v>26500</v>
      </c>
      <c r="F106" s="43">
        <v>3500</v>
      </c>
      <c r="G106" s="43">
        <v>5000</v>
      </c>
      <c r="H106" s="43">
        <v>5000</v>
      </c>
      <c r="I106" s="43">
        <v>18630</v>
      </c>
      <c r="J106" s="43">
        <v>0</v>
      </c>
      <c r="K106" s="43">
        <v>1000</v>
      </c>
      <c r="L106" s="43">
        <v>2131.12</v>
      </c>
      <c r="M106" s="44">
        <f t="shared" si="21"/>
        <v>61761.120000000003</v>
      </c>
      <c r="N106" s="44">
        <f t="shared" si="22"/>
        <v>2400</v>
      </c>
      <c r="O106" s="43">
        <v>15850</v>
      </c>
      <c r="P106" s="43">
        <v>0</v>
      </c>
      <c r="Q106" s="43">
        <v>0</v>
      </c>
      <c r="R106" s="43">
        <v>0</v>
      </c>
      <c r="S106" s="43">
        <v>0</v>
      </c>
      <c r="T106" s="43">
        <v>2131.12</v>
      </c>
      <c r="U106" s="43">
        <v>0</v>
      </c>
      <c r="V106" s="44">
        <f t="shared" si="23"/>
        <v>20381.12</v>
      </c>
      <c r="W106" s="44">
        <f t="shared" si="24"/>
        <v>41380</v>
      </c>
      <c r="X106" s="44">
        <f t="shared" si="25"/>
        <v>3600</v>
      </c>
      <c r="Y106" s="44">
        <f t="shared" si="26"/>
        <v>900</v>
      </c>
      <c r="Z106" s="50"/>
      <c r="AA106" s="47" t="str">
        <f t="shared" si="27"/>
        <v>October 2026N G L D Supunsiri</v>
      </c>
    </row>
    <row r="107" spans="1:27" ht="16.5" customHeight="1" thickTop="1" thickBot="1" x14ac:dyDescent="0.35">
      <c r="A107" s="35" t="s">
        <v>208</v>
      </c>
      <c r="E107" s="43"/>
      <c r="F107" s="43"/>
      <c r="G107" s="43"/>
      <c r="H107" s="43"/>
      <c r="I107" s="43"/>
      <c r="J107" s="43"/>
      <c r="K107" s="43"/>
      <c r="L107" s="43"/>
      <c r="M107" s="44">
        <f t="shared" si="21"/>
        <v>0</v>
      </c>
      <c r="N107" s="44">
        <f t="shared" si="22"/>
        <v>0</v>
      </c>
      <c r="O107" s="43"/>
      <c r="P107" s="43"/>
      <c r="Q107" s="43"/>
      <c r="R107" s="43"/>
      <c r="S107" s="43"/>
      <c r="T107" s="43"/>
      <c r="U107" s="43"/>
      <c r="V107" s="44">
        <f t="shared" si="23"/>
        <v>0</v>
      </c>
      <c r="W107" s="44">
        <f t="shared" si="24"/>
        <v>0</v>
      </c>
      <c r="X107" s="44">
        <f t="shared" si="25"/>
        <v>0</v>
      </c>
      <c r="Y107" s="44">
        <f t="shared" si="26"/>
        <v>0</v>
      </c>
      <c r="Z107" s="50"/>
      <c r="AA107" s="47" t="str">
        <f t="shared" si="27"/>
        <v>November 2026</v>
      </c>
    </row>
    <row r="108" spans="1:27" ht="16.5" customHeight="1" thickTop="1" thickBot="1" x14ac:dyDescent="0.35">
      <c r="A108" s="35" t="s">
        <v>208</v>
      </c>
      <c r="E108" s="43"/>
      <c r="F108" s="43"/>
      <c r="G108" s="43"/>
      <c r="H108" s="43"/>
      <c r="I108" s="43"/>
      <c r="J108" s="43"/>
      <c r="K108" s="43"/>
      <c r="L108" s="43"/>
      <c r="M108" s="44">
        <f t="shared" si="21"/>
        <v>0</v>
      </c>
      <c r="N108" s="44">
        <f t="shared" si="22"/>
        <v>0</v>
      </c>
      <c r="O108" s="43"/>
      <c r="P108" s="43"/>
      <c r="Q108" s="43"/>
      <c r="R108" s="43"/>
      <c r="S108" s="43"/>
      <c r="T108" s="43"/>
      <c r="U108" s="43"/>
      <c r="V108" s="44">
        <f t="shared" si="23"/>
        <v>0</v>
      </c>
      <c r="W108" s="44">
        <f t="shared" si="24"/>
        <v>0</v>
      </c>
      <c r="X108" s="44">
        <f t="shared" si="25"/>
        <v>0</v>
      </c>
      <c r="Y108" s="44">
        <f t="shared" si="26"/>
        <v>0</v>
      </c>
      <c r="Z108" s="50"/>
      <c r="AA108" s="47" t="str">
        <f t="shared" si="27"/>
        <v>November 2026</v>
      </c>
    </row>
    <row r="109" spans="1:27" ht="16.5" customHeight="1" thickTop="1" thickBot="1" x14ac:dyDescent="0.35">
      <c r="A109" s="35" t="s">
        <v>208</v>
      </c>
      <c r="E109" s="43"/>
      <c r="F109" s="43"/>
      <c r="G109" s="43"/>
      <c r="H109" s="43"/>
      <c r="I109" s="43"/>
      <c r="J109" s="43"/>
      <c r="K109" s="43"/>
      <c r="L109" s="43"/>
      <c r="M109" s="44">
        <f t="shared" si="21"/>
        <v>0</v>
      </c>
      <c r="N109" s="44">
        <f t="shared" si="22"/>
        <v>0</v>
      </c>
      <c r="O109" s="43"/>
      <c r="P109" s="43"/>
      <c r="Q109" s="43"/>
      <c r="R109" s="43"/>
      <c r="S109" s="43"/>
      <c r="T109" s="43"/>
      <c r="U109" s="43"/>
      <c r="V109" s="44">
        <f t="shared" si="23"/>
        <v>0</v>
      </c>
      <c r="W109" s="44">
        <f t="shared" si="24"/>
        <v>0</v>
      </c>
      <c r="X109" s="44">
        <f t="shared" si="25"/>
        <v>0</v>
      </c>
      <c r="Y109" s="44">
        <f t="shared" si="26"/>
        <v>0</v>
      </c>
      <c r="Z109" s="50"/>
      <c r="AA109" s="47" t="str">
        <f t="shared" si="27"/>
        <v>November 2026</v>
      </c>
    </row>
    <row r="110" spans="1:27" ht="16.5" customHeight="1" thickTop="1" thickBot="1" x14ac:dyDescent="0.35">
      <c r="A110" s="35" t="s">
        <v>208</v>
      </c>
      <c r="E110" s="43"/>
      <c r="F110" s="43"/>
      <c r="G110" s="43"/>
      <c r="H110" s="43"/>
      <c r="I110" s="43"/>
      <c r="J110" s="43"/>
      <c r="K110" s="43"/>
      <c r="L110" s="43"/>
      <c r="M110" s="44">
        <f t="shared" si="21"/>
        <v>0</v>
      </c>
      <c r="N110" s="44">
        <f t="shared" si="22"/>
        <v>0</v>
      </c>
      <c r="O110" s="43"/>
      <c r="P110" s="43"/>
      <c r="Q110" s="43"/>
      <c r="R110" s="43"/>
      <c r="S110" s="43"/>
      <c r="T110" s="43"/>
      <c r="U110" s="43"/>
      <c r="V110" s="44">
        <f t="shared" si="23"/>
        <v>0</v>
      </c>
      <c r="W110" s="44">
        <f t="shared" si="24"/>
        <v>0</v>
      </c>
      <c r="X110" s="44">
        <f t="shared" si="25"/>
        <v>0</v>
      </c>
      <c r="Y110" s="44">
        <f t="shared" si="26"/>
        <v>0</v>
      </c>
      <c r="Z110" s="50"/>
      <c r="AA110" s="47" t="str">
        <f t="shared" si="27"/>
        <v>November 2026</v>
      </c>
    </row>
    <row r="111" spans="1:27" ht="16.5" customHeight="1" thickTop="1" thickBot="1" x14ac:dyDescent="0.35">
      <c r="A111" s="35" t="s">
        <v>208</v>
      </c>
      <c r="E111" s="43"/>
      <c r="F111" s="43"/>
      <c r="G111" s="43"/>
      <c r="H111" s="43"/>
      <c r="I111" s="43"/>
      <c r="J111" s="43"/>
      <c r="K111" s="43"/>
      <c r="L111" s="43"/>
      <c r="M111" s="44">
        <f t="shared" si="21"/>
        <v>0</v>
      </c>
      <c r="N111" s="44">
        <f t="shared" si="22"/>
        <v>0</v>
      </c>
      <c r="O111" s="43"/>
      <c r="P111" s="43"/>
      <c r="Q111" s="43"/>
      <c r="R111" s="43"/>
      <c r="S111" s="43"/>
      <c r="T111" s="43"/>
      <c r="U111" s="43"/>
      <c r="V111" s="44">
        <f t="shared" si="23"/>
        <v>0</v>
      </c>
      <c r="W111" s="44">
        <f t="shared" si="24"/>
        <v>0</v>
      </c>
      <c r="X111" s="44">
        <f t="shared" si="25"/>
        <v>0</v>
      </c>
      <c r="Y111" s="44">
        <f t="shared" si="26"/>
        <v>0</v>
      </c>
      <c r="Z111" s="50"/>
      <c r="AA111" s="47" t="str">
        <f t="shared" si="27"/>
        <v>November 2026</v>
      </c>
    </row>
    <row r="112" spans="1:27" ht="16.5" customHeight="1" thickTop="1" thickBot="1" x14ac:dyDescent="0.35">
      <c r="A112" s="35" t="s">
        <v>208</v>
      </c>
      <c r="E112" s="43"/>
      <c r="F112" s="43"/>
      <c r="G112" s="43"/>
      <c r="H112" s="43"/>
      <c r="I112" s="43"/>
      <c r="J112" s="43"/>
      <c r="K112" s="43"/>
      <c r="L112" s="43"/>
      <c r="M112" s="44">
        <f t="shared" si="21"/>
        <v>0</v>
      </c>
      <c r="N112" s="44">
        <f t="shared" si="22"/>
        <v>0</v>
      </c>
      <c r="O112" s="43"/>
      <c r="P112" s="43"/>
      <c r="Q112" s="43"/>
      <c r="R112" s="43"/>
      <c r="S112" s="43"/>
      <c r="T112" s="43"/>
      <c r="U112" s="43"/>
      <c r="V112" s="44">
        <f t="shared" si="23"/>
        <v>0</v>
      </c>
      <c r="W112" s="44">
        <f t="shared" si="24"/>
        <v>0</v>
      </c>
      <c r="X112" s="44">
        <f t="shared" si="25"/>
        <v>0</v>
      </c>
      <c r="Y112" s="44">
        <f t="shared" si="26"/>
        <v>0</v>
      </c>
      <c r="Z112" s="50"/>
      <c r="AA112" s="47" t="str">
        <f t="shared" si="27"/>
        <v>November 2026</v>
      </c>
    </row>
    <row r="113" spans="1:27" ht="16.5" customHeight="1" thickTop="1" thickBot="1" x14ac:dyDescent="0.35">
      <c r="A113" s="35" t="s">
        <v>208</v>
      </c>
      <c r="E113" s="43"/>
      <c r="F113" s="43"/>
      <c r="G113" s="43"/>
      <c r="H113" s="43"/>
      <c r="I113" s="43"/>
      <c r="J113" s="43"/>
      <c r="K113" s="43"/>
      <c r="L113" s="43"/>
      <c r="M113" s="44">
        <f t="shared" si="21"/>
        <v>0</v>
      </c>
      <c r="N113" s="44">
        <f t="shared" si="22"/>
        <v>0</v>
      </c>
      <c r="O113" s="43"/>
      <c r="P113" s="43"/>
      <c r="Q113" s="43"/>
      <c r="R113" s="43"/>
      <c r="S113" s="43"/>
      <c r="T113" s="43"/>
      <c r="U113" s="43"/>
      <c r="V113" s="44">
        <f t="shared" si="23"/>
        <v>0</v>
      </c>
      <c r="W113" s="44">
        <f t="shared" si="24"/>
        <v>0</v>
      </c>
      <c r="X113" s="44">
        <f t="shared" si="25"/>
        <v>0</v>
      </c>
      <c r="Y113" s="44">
        <f t="shared" si="26"/>
        <v>0</v>
      </c>
      <c r="Z113" s="50"/>
      <c r="AA113" s="47" t="str">
        <f t="shared" si="27"/>
        <v>November 2026</v>
      </c>
    </row>
    <row r="114" spans="1:27" ht="16.5" customHeight="1" thickTop="1" thickBot="1" x14ac:dyDescent="0.35">
      <c r="A114" s="35" t="s">
        <v>208</v>
      </c>
      <c r="E114" s="43"/>
      <c r="F114" s="43"/>
      <c r="G114" s="43"/>
      <c r="H114" s="43"/>
      <c r="I114" s="43"/>
      <c r="J114" s="43"/>
      <c r="K114" s="43"/>
      <c r="L114" s="43"/>
      <c r="M114" s="44">
        <f t="shared" si="21"/>
        <v>0</v>
      </c>
      <c r="N114" s="44">
        <f t="shared" si="22"/>
        <v>0</v>
      </c>
      <c r="O114" s="43"/>
      <c r="P114" s="43"/>
      <c r="Q114" s="43"/>
      <c r="R114" s="43"/>
      <c r="S114" s="43"/>
      <c r="T114" s="43"/>
      <c r="U114" s="43"/>
      <c r="V114" s="44">
        <f t="shared" si="23"/>
        <v>0</v>
      </c>
      <c r="W114" s="44">
        <f t="shared" si="24"/>
        <v>0</v>
      </c>
      <c r="X114" s="44">
        <f t="shared" si="25"/>
        <v>0</v>
      </c>
      <c r="Y114" s="44">
        <f t="shared" si="26"/>
        <v>0</v>
      </c>
      <c r="Z114" s="50"/>
      <c r="AA114" s="47" t="str">
        <f t="shared" si="27"/>
        <v>November 2026</v>
      </c>
    </row>
    <row r="115" spans="1:27" ht="16.5" customHeight="1" thickTop="1" thickBot="1" x14ac:dyDescent="0.35">
      <c r="A115" s="35" t="s">
        <v>208</v>
      </c>
      <c r="E115" s="43"/>
      <c r="F115" s="43"/>
      <c r="G115" s="43"/>
      <c r="H115" s="43"/>
      <c r="I115" s="43"/>
      <c r="J115" s="43"/>
      <c r="K115" s="43"/>
      <c r="L115" s="43"/>
      <c r="M115" s="44">
        <f t="shared" si="21"/>
        <v>0</v>
      </c>
      <c r="N115" s="44">
        <f t="shared" si="22"/>
        <v>0</v>
      </c>
      <c r="O115" s="43"/>
      <c r="P115" s="43"/>
      <c r="Q115" s="43"/>
      <c r="R115" s="43"/>
      <c r="S115" s="43"/>
      <c r="T115" s="43"/>
      <c r="U115" s="43"/>
      <c r="V115" s="44">
        <f t="shared" si="23"/>
        <v>0</v>
      </c>
      <c r="W115" s="44">
        <f t="shared" si="24"/>
        <v>0</v>
      </c>
      <c r="X115" s="44">
        <f t="shared" si="25"/>
        <v>0</v>
      </c>
      <c r="Y115" s="44">
        <f t="shared" si="26"/>
        <v>0</v>
      </c>
      <c r="Z115" s="50"/>
      <c r="AA115" s="47" t="str">
        <f t="shared" si="27"/>
        <v>November 2026</v>
      </c>
    </row>
    <row r="116" spans="1:27" ht="16.5" customHeight="1" thickTop="1" thickBot="1" x14ac:dyDescent="0.35">
      <c r="A116" s="35" t="s">
        <v>208</v>
      </c>
      <c r="E116" s="43"/>
      <c r="F116" s="43"/>
      <c r="G116" s="43"/>
      <c r="H116" s="43"/>
      <c r="I116" s="43"/>
      <c r="J116" s="43"/>
      <c r="K116" s="43"/>
      <c r="L116" s="43"/>
      <c r="M116" s="44">
        <f t="shared" si="21"/>
        <v>0</v>
      </c>
      <c r="N116" s="44">
        <f t="shared" si="22"/>
        <v>0</v>
      </c>
      <c r="O116" s="43"/>
      <c r="P116" s="43"/>
      <c r="Q116" s="43"/>
      <c r="R116" s="43"/>
      <c r="S116" s="43"/>
      <c r="T116" s="43"/>
      <c r="U116" s="43"/>
      <c r="V116" s="44">
        <f t="shared" si="23"/>
        <v>0</v>
      </c>
      <c r="W116" s="44">
        <f t="shared" si="24"/>
        <v>0</v>
      </c>
      <c r="X116" s="44">
        <f t="shared" si="25"/>
        <v>0</v>
      </c>
      <c r="Y116" s="44">
        <f t="shared" si="26"/>
        <v>0</v>
      </c>
      <c r="Z116" s="50"/>
      <c r="AA116" s="47" t="str">
        <f t="shared" si="27"/>
        <v>November 2026</v>
      </c>
    </row>
    <row r="117" spans="1:27" ht="16.5" customHeight="1" thickTop="1" thickBot="1" x14ac:dyDescent="0.35">
      <c r="A117" s="35" t="s">
        <v>208</v>
      </c>
      <c r="E117" s="43"/>
      <c r="F117" s="43"/>
      <c r="G117" s="43"/>
      <c r="H117" s="43"/>
      <c r="I117" s="43"/>
      <c r="J117" s="43"/>
      <c r="K117" s="43"/>
      <c r="L117" s="43"/>
      <c r="M117" s="44">
        <f t="shared" si="21"/>
        <v>0</v>
      </c>
      <c r="N117" s="44">
        <f t="shared" si="22"/>
        <v>0</v>
      </c>
      <c r="O117" s="43"/>
      <c r="P117" s="43"/>
      <c r="Q117" s="43"/>
      <c r="R117" s="43"/>
      <c r="S117" s="43"/>
      <c r="T117" s="43"/>
      <c r="U117" s="43"/>
      <c r="V117" s="44">
        <f t="shared" si="23"/>
        <v>0</v>
      </c>
      <c r="W117" s="44">
        <f t="shared" si="24"/>
        <v>0</v>
      </c>
      <c r="X117" s="44">
        <f t="shared" si="25"/>
        <v>0</v>
      </c>
      <c r="Y117" s="44">
        <f t="shared" si="26"/>
        <v>0</v>
      </c>
      <c r="Z117" s="50"/>
      <c r="AA117" s="47" t="str">
        <f t="shared" si="27"/>
        <v>November 2026</v>
      </c>
    </row>
    <row r="118" spans="1:27" ht="16.5" customHeight="1" thickTop="1" thickBot="1" x14ac:dyDescent="0.35">
      <c r="A118" s="35" t="s">
        <v>208</v>
      </c>
      <c r="E118" s="43"/>
      <c r="F118" s="43"/>
      <c r="G118" s="43"/>
      <c r="H118" s="43"/>
      <c r="I118" s="43"/>
      <c r="J118" s="43"/>
      <c r="K118" s="43"/>
      <c r="L118" s="43"/>
      <c r="M118" s="44">
        <f t="shared" si="21"/>
        <v>0</v>
      </c>
      <c r="N118" s="44">
        <f t="shared" si="22"/>
        <v>0</v>
      </c>
      <c r="O118" s="43"/>
      <c r="P118" s="43"/>
      <c r="Q118" s="43"/>
      <c r="R118" s="43"/>
      <c r="S118" s="43"/>
      <c r="T118" s="43"/>
      <c r="U118" s="43"/>
      <c r="V118" s="44">
        <f t="shared" si="23"/>
        <v>0</v>
      </c>
      <c r="W118" s="44">
        <f t="shared" si="24"/>
        <v>0</v>
      </c>
      <c r="X118" s="44">
        <f t="shared" si="25"/>
        <v>0</v>
      </c>
      <c r="Y118" s="44">
        <f t="shared" si="26"/>
        <v>0</v>
      </c>
      <c r="Z118" s="50"/>
      <c r="AA118" s="47" t="str">
        <f t="shared" si="27"/>
        <v>November 2026</v>
      </c>
    </row>
    <row r="119" spans="1:27" ht="16.5" customHeight="1" thickTop="1" thickBot="1" x14ac:dyDescent="0.35">
      <c r="A119" s="35" t="s">
        <v>208</v>
      </c>
      <c r="E119" s="43"/>
      <c r="F119" s="43"/>
      <c r="G119" s="43"/>
      <c r="H119" s="43"/>
      <c r="I119" s="43"/>
      <c r="J119" s="43"/>
      <c r="K119" s="43"/>
      <c r="L119" s="43"/>
      <c r="M119" s="44">
        <f t="shared" si="21"/>
        <v>0</v>
      </c>
      <c r="N119" s="44">
        <f t="shared" si="22"/>
        <v>0</v>
      </c>
      <c r="O119" s="43"/>
      <c r="P119" s="43"/>
      <c r="Q119" s="43"/>
      <c r="R119" s="43"/>
      <c r="S119" s="43"/>
      <c r="T119" s="43"/>
      <c r="U119" s="43"/>
      <c r="V119" s="44">
        <f t="shared" si="23"/>
        <v>0</v>
      </c>
      <c r="W119" s="44">
        <f t="shared" si="24"/>
        <v>0</v>
      </c>
      <c r="X119" s="44">
        <f t="shared" si="25"/>
        <v>0</v>
      </c>
      <c r="Y119" s="44">
        <f t="shared" si="26"/>
        <v>0</v>
      </c>
      <c r="Z119" s="50"/>
      <c r="AA119" s="47" t="str">
        <f t="shared" si="27"/>
        <v>November 2026</v>
      </c>
    </row>
    <row r="120" spans="1:27" ht="16.5" customHeight="1" thickTop="1" thickBot="1" x14ac:dyDescent="0.35">
      <c r="A120" s="35" t="s">
        <v>208</v>
      </c>
      <c r="E120" s="43"/>
      <c r="F120" s="43"/>
      <c r="G120" s="43"/>
      <c r="H120" s="43"/>
      <c r="I120" s="43"/>
      <c r="J120" s="43"/>
      <c r="K120" s="43"/>
      <c r="L120" s="43"/>
      <c r="M120" s="44">
        <f t="shared" si="21"/>
        <v>0</v>
      </c>
      <c r="N120" s="44">
        <f t="shared" si="22"/>
        <v>0</v>
      </c>
      <c r="O120" s="43"/>
      <c r="P120" s="43"/>
      <c r="Q120" s="43"/>
      <c r="R120" s="43"/>
      <c r="S120" s="43"/>
      <c r="T120" s="43"/>
      <c r="U120" s="43"/>
      <c r="V120" s="44">
        <f t="shared" si="23"/>
        <v>0</v>
      </c>
      <c r="W120" s="44">
        <f t="shared" si="24"/>
        <v>0</v>
      </c>
      <c r="X120" s="44">
        <f t="shared" si="25"/>
        <v>0</v>
      </c>
      <c r="Y120" s="44">
        <f t="shared" si="26"/>
        <v>0</v>
      </c>
      <c r="Z120" s="50"/>
      <c r="AA120" s="47" t="str">
        <f t="shared" si="27"/>
        <v>November 2026</v>
      </c>
    </row>
    <row r="121" spans="1:27" ht="16.5" customHeight="1" thickTop="1" thickBot="1" x14ac:dyDescent="0.35">
      <c r="A121" s="35" t="s">
        <v>208</v>
      </c>
      <c r="E121" s="43"/>
      <c r="F121" s="43"/>
      <c r="G121" s="43"/>
      <c r="H121" s="43"/>
      <c r="I121" s="43"/>
      <c r="J121" s="43"/>
      <c r="K121" s="43"/>
      <c r="L121" s="43"/>
      <c r="M121" s="44">
        <f t="shared" si="21"/>
        <v>0</v>
      </c>
      <c r="N121" s="44">
        <f t="shared" si="22"/>
        <v>0</v>
      </c>
      <c r="O121" s="43"/>
      <c r="P121" s="43"/>
      <c r="Q121" s="43"/>
      <c r="R121" s="43"/>
      <c r="S121" s="43"/>
      <c r="T121" s="43"/>
      <c r="U121" s="43"/>
      <c r="V121" s="44">
        <f t="shared" si="23"/>
        <v>0</v>
      </c>
      <c r="W121" s="44">
        <f t="shared" si="24"/>
        <v>0</v>
      </c>
      <c r="X121" s="44">
        <f t="shared" si="25"/>
        <v>0</v>
      </c>
      <c r="Y121" s="44">
        <f t="shared" si="26"/>
        <v>0</v>
      </c>
      <c r="Z121" s="50"/>
      <c r="AA121" s="47" t="str">
        <f t="shared" si="27"/>
        <v>November 2026</v>
      </c>
    </row>
    <row r="122" spans="1:27" ht="16.5" customHeight="1" thickTop="1" thickBot="1" x14ac:dyDescent="0.35">
      <c r="A122" s="35" t="s">
        <v>209</v>
      </c>
      <c r="E122" s="43"/>
      <c r="F122" s="43"/>
      <c r="G122" s="43"/>
      <c r="H122" s="43"/>
      <c r="I122" s="43"/>
      <c r="J122" s="43"/>
      <c r="K122" s="43"/>
      <c r="L122" s="43"/>
      <c r="M122" s="44">
        <f t="shared" si="21"/>
        <v>0</v>
      </c>
      <c r="N122" s="44">
        <f t="shared" si="22"/>
        <v>0</v>
      </c>
      <c r="O122" s="43"/>
      <c r="P122" s="43"/>
      <c r="Q122" s="43"/>
      <c r="R122" s="43"/>
      <c r="S122" s="43"/>
      <c r="T122" s="43"/>
      <c r="U122" s="43"/>
      <c r="V122" s="44">
        <f t="shared" si="23"/>
        <v>0</v>
      </c>
      <c r="W122" s="44">
        <f t="shared" si="24"/>
        <v>0</v>
      </c>
      <c r="X122" s="44">
        <f t="shared" si="25"/>
        <v>0</v>
      </c>
      <c r="Y122" s="44">
        <f t="shared" si="26"/>
        <v>0</v>
      </c>
      <c r="Z122" s="50"/>
      <c r="AA122" s="47" t="str">
        <f t="shared" si="27"/>
        <v>December 2026</v>
      </c>
    </row>
    <row r="123" spans="1:27" ht="16.5" customHeight="1" thickTop="1" thickBot="1" x14ac:dyDescent="0.35">
      <c r="A123" s="35" t="s">
        <v>209</v>
      </c>
      <c r="E123" s="43"/>
      <c r="F123" s="43"/>
      <c r="G123" s="43"/>
      <c r="H123" s="43"/>
      <c r="I123" s="43"/>
      <c r="J123" s="43"/>
      <c r="K123" s="43"/>
      <c r="L123" s="43"/>
      <c r="M123" s="44">
        <f t="shared" si="21"/>
        <v>0</v>
      </c>
      <c r="N123" s="44">
        <f t="shared" si="22"/>
        <v>0</v>
      </c>
      <c r="O123" s="43"/>
      <c r="P123" s="43"/>
      <c r="Q123" s="43"/>
      <c r="R123" s="43"/>
      <c r="S123" s="43"/>
      <c r="T123" s="43"/>
      <c r="U123" s="43"/>
      <c r="V123" s="44">
        <f t="shared" si="23"/>
        <v>0</v>
      </c>
      <c r="W123" s="44">
        <f t="shared" si="24"/>
        <v>0</v>
      </c>
      <c r="X123" s="44">
        <f t="shared" si="25"/>
        <v>0</v>
      </c>
      <c r="Y123" s="44">
        <f t="shared" si="26"/>
        <v>0</v>
      </c>
      <c r="Z123" s="50"/>
      <c r="AA123" s="47" t="str">
        <f t="shared" si="27"/>
        <v>December 2026</v>
      </c>
    </row>
    <row r="124" spans="1:27" ht="16.5" customHeight="1" thickTop="1" thickBot="1" x14ac:dyDescent="0.35">
      <c r="A124" s="35" t="s">
        <v>209</v>
      </c>
      <c r="E124" s="43"/>
      <c r="F124" s="43"/>
      <c r="G124" s="43"/>
      <c r="H124" s="43"/>
      <c r="I124" s="43"/>
      <c r="J124" s="43"/>
      <c r="K124" s="43"/>
      <c r="L124" s="43"/>
      <c r="M124" s="44">
        <f t="shared" si="21"/>
        <v>0</v>
      </c>
      <c r="N124" s="44">
        <f t="shared" si="22"/>
        <v>0</v>
      </c>
      <c r="O124" s="43"/>
      <c r="P124" s="43"/>
      <c r="Q124" s="43"/>
      <c r="R124" s="43"/>
      <c r="S124" s="43"/>
      <c r="T124" s="43"/>
      <c r="U124" s="43"/>
      <c r="V124" s="44">
        <f t="shared" si="23"/>
        <v>0</v>
      </c>
      <c r="W124" s="44">
        <f t="shared" si="24"/>
        <v>0</v>
      </c>
      <c r="X124" s="44">
        <f t="shared" si="25"/>
        <v>0</v>
      </c>
      <c r="Y124" s="44">
        <f t="shared" si="26"/>
        <v>0</v>
      </c>
      <c r="Z124" s="50"/>
      <c r="AA124" s="47" t="str">
        <f t="shared" si="27"/>
        <v>December 2026</v>
      </c>
    </row>
    <row r="125" spans="1:27" ht="16.5" customHeight="1" thickTop="1" thickBot="1" x14ac:dyDescent="0.35">
      <c r="A125" s="35" t="s">
        <v>209</v>
      </c>
      <c r="E125" s="43"/>
      <c r="F125" s="43"/>
      <c r="G125" s="43"/>
      <c r="H125" s="43"/>
      <c r="I125" s="43"/>
      <c r="J125" s="43"/>
      <c r="K125" s="43"/>
      <c r="L125" s="43"/>
      <c r="M125" s="44">
        <f t="shared" si="21"/>
        <v>0</v>
      </c>
      <c r="N125" s="44">
        <f t="shared" si="22"/>
        <v>0</v>
      </c>
      <c r="O125" s="43"/>
      <c r="P125" s="43"/>
      <c r="Q125" s="43"/>
      <c r="R125" s="43"/>
      <c r="S125" s="43"/>
      <c r="T125" s="43"/>
      <c r="U125" s="43"/>
      <c r="V125" s="44">
        <f t="shared" si="23"/>
        <v>0</v>
      </c>
      <c r="W125" s="44">
        <f t="shared" si="24"/>
        <v>0</v>
      </c>
      <c r="X125" s="44">
        <f t="shared" si="25"/>
        <v>0</v>
      </c>
      <c r="Y125" s="44">
        <f t="shared" si="26"/>
        <v>0</v>
      </c>
      <c r="Z125" s="50"/>
      <c r="AA125" s="47" t="str">
        <f t="shared" si="27"/>
        <v>December 2026</v>
      </c>
    </row>
    <row r="126" spans="1:27" ht="16.5" customHeight="1" thickTop="1" thickBot="1" x14ac:dyDescent="0.35">
      <c r="A126" s="35" t="s">
        <v>209</v>
      </c>
      <c r="E126" s="43"/>
      <c r="F126" s="43"/>
      <c r="G126" s="43"/>
      <c r="H126" s="43"/>
      <c r="I126" s="43"/>
      <c r="J126" s="43"/>
      <c r="K126" s="43"/>
      <c r="L126" s="43"/>
      <c r="M126" s="44">
        <f t="shared" si="21"/>
        <v>0</v>
      </c>
      <c r="N126" s="44">
        <f t="shared" si="22"/>
        <v>0</v>
      </c>
      <c r="O126" s="43"/>
      <c r="P126" s="43"/>
      <c r="Q126" s="43"/>
      <c r="R126" s="43"/>
      <c r="S126" s="43"/>
      <c r="T126" s="43"/>
      <c r="U126" s="43"/>
      <c r="V126" s="44">
        <f t="shared" si="23"/>
        <v>0</v>
      </c>
      <c r="W126" s="44">
        <f t="shared" si="24"/>
        <v>0</v>
      </c>
      <c r="X126" s="44">
        <f t="shared" si="25"/>
        <v>0</v>
      </c>
      <c r="Y126" s="44">
        <f t="shared" si="26"/>
        <v>0</v>
      </c>
      <c r="Z126" s="50"/>
      <c r="AA126" s="47" t="str">
        <f t="shared" si="27"/>
        <v>December 2026</v>
      </c>
    </row>
    <row r="127" spans="1:27" ht="16.5" customHeight="1" thickTop="1" thickBot="1" x14ac:dyDescent="0.35">
      <c r="A127" s="35" t="s">
        <v>209</v>
      </c>
      <c r="E127" s="43"/>
      <c r="F127" s="43"/>
      <c r="G127" s="43"/>
      <c r="H127" s="43"/>
      <c r="I127" s="43"/>
      <c r="J127" s="43"/>
      <c r="K127" s="43"/>
      <c r="L127" s="43"/>
      <c r="M127" s="44">
        <f t="shared" si="21"/>
        <v>0</v>
      </c>
      <c r="N127" s="44">
        <f t="shared" si="22"/>
        <v>0</v>
      </c>
      <c r="O127" s="43"/>
      <c r="P127" s="43"/>
      <c r="Q127" s="43"/>
      <c r="R127" s="43"/>
      <c r="S127" s="43"/>
      <c r="T127" s="43"/>
      <c r="U127" s="43"/>
      <c r="V127" s="44">
        <f t="shared" si="23"/>
        <v>0</v>
      </c>
      <c r="W127" s="44">
        <f t="shared" si="24"/>
        <v>0</v>
      </c>
      <c r="X127" s="44">
        <f t="shared" si="25"/>
        <v>0</v>
      </c>
      <c r="Y127" s="44">
        <f t="shared" si="26"/>
        <v>0</v>
      </c>
      <c r="Z127" s="50"/>
      <c r="AA127" s="47" t="str">
        <f t="shared" si="27"/>
        <v>December 2026</v>
      </c>
    </row>
    <row r="128" spans="1:27" ht="16.5" customHeight="1" thickTop="1" thickBot="1" x14ac:dyDescent="0.35">
      <c r="A128" s="35" t="s">
        <v>209</v>
      </c>
      <c r="E128" s="43"/>
      <c r="F128" s="43"/>
      <c r="G128" s="43"/>
      <c r="H128" s="43"/>
      <c r="I128" s="43"/>
      <c r="J128" s="43"/>
      <c r="K128" s="43"/>
      <c r="L128" s="43"/>
      <c r="M128" s="44">
        <f t="shared" si="21"/>
        <v>0</v>
      </c>
      <c r="N128" s="44">
        <f t="shared" si="22"/>
        <v>0</v>
      </c>
      <c r="O128" s="43"/>
      <c r="P128" s="43"/>
      <c r="Q128" s="43"/>
      <c r="R128" s="43"/>
      <c r="S128" s="43"/>
      <c r="T128" s="43"/>
      <c r="U128" s="43"/>
      <c r="V128" s="44">
        <f t="shared" si="23"/>
        <v>0</v>
      </c>
      <c r="W128" s="44">
        <f t="shared" si="24"/>
        <v>0</v>
      </c>
      <c r="X128" s="44">
        <f t="shared" si="25"/>
        <v>0</v>
      </c>
      <c r="Y128" s="44">
        <f t="shared" si="26"/>
        <v>0</v>
      </c>
      <c r="Z128" s="50"/>
      <c r="AA128" s="47" t="str">
        <f t="shared" si="27"/>
        <v>December 2026</v>
      </c>
    </row>
    <row r="129" spans="1:27" ht="16.5" customHeight="1" thickTop="1" thickBot="1" x14ac:dyDescent="0.35">
      <c r="A129" s="35" t="s">
        <v>209</v>
      </c>
      <c r="E129" s="43"/>
      <c r="F129" s="43"/>
      <c r="G129" s="43"/>
      <c r="H129" s="43"/>
      <c r="I129" s="43"/>
      <c r="J129" s="43"/>
      <c r="K129" s="43"/>
      <c r="L129" s="43"/>
      <c r="M129" s="44">
        <f t="shared" si="21"/>
        <v>0</v>
      </c>
      <c r="N129" s="44">
        <f t="shared" si="22"/>
        <v>0</v>
      </c>
      <c r="O129" s="43"/>
      <c r="P129" s="43"/>
      <c r="Q129" s="43"/>
      <c r="R129" s="43"/>
      <c r="S129" s="43"/>
      <c r="T129" s="43"/>
      <c r="U129" s="43"/>
      <c r="V129" s="44">
        <f t="shared" si="23"/>
        <v>0</v>
      </c>
      <c r="W129" s="44">
        <f t="shared" si="24"/>
        <v>0</v>
      </c>
      <c r="X129" s="44">
        <f t="shared" si="25"/>
        <v>0</v>
      </c>
      <c r="Y129" s="44">
        <f t="shared" si="26"/>
        <v>0</v>
      </c>
      <c r="Z129" s="50"/>
      <c r="AA129" s="47" t="str">
        <f t="shared" si="27"/>
        <v>December 2026</v>
      </c>
    </row>
    <row r="130" spans="1:27" ht="16.5" customHeight="1" thickTop="1" thickBot="1" x14ac:dyDescent="0.35">
      <c r="A130" s="35" t="s">
        <v>209</v>
      </c>
      <c r="E130" s="43"/>
      <c r="F130" s="43"/>
      <c r="G130" s="43"/>
      <c r="H130" s="43"/>
      <c r="I130" s="43"/>
      <c r="J130" s="43"/>
      <c r="K130" s="43"/>
      <c r="L130" s="43"/>
      <c r="M130" s="44">
        <f t="shared" ref="M130:M161" si="28">SUM(E130:L130)</f>
        <v>0</v>
      </c>
      <c r="N130" s="44">
        <f t="shared" ref="N130:N161" si="29">(E130+F130)*8%</f>
        <v>0</v>
      </c>
      <c r="O130" s="43"/>
      <c r="P130" s="43"/>
      <c r="Q130" s="43"/>
      <c r="R130" s="43"/>
      <c r="S130" s="43"/>
      <c r="T130" s="43"/>
      <c r="U130" s="43"/>
      <c r="V130" s="44">
        <f t="shared" ref="V130:V161" si="30">SUM(N130:U130)</f>
        <v>0</v>
      </c>
      <c r="W130" s="44">
        <f t="shared" ref="W130:W161" si="31">M130-V130</f>
        <v>0</v>
      </c>
      <c r="X130" s="44">
        <f t="shared" ref="X130:X161" si="32">(E130+F130)*12%</f>
        <v>0</v>
      </c>
      <c r="Y130" s="44">
        <f t="shared" ref="Y130:Y161" si="33">(E130+F130)*3%</f>
        <v>0</v>
      </c>
      <c r="Z130" s="50"/>
      <c r="AA130" s="47" t="str">
        <f t="shared" ref="AA130:AA161" si="34">A130&amp;B130</f>
        <v>December 2026</v>
      </c>
    </row>
    <row r="131" spans="1:27" ht="16.5" customHeight="1" thickTop="1" thickBot="1" x14ac:dyDescent="0.35">
      <c r="A131" s="35" t="s">
        <v>209</v>
      </c>
      <c r="E131" s="43"/>
      <c r="F131" s="43"/>
      <c r="G131" s="43"/>
      <c r="H131" s="43"/>
      <c r="I131" s="43"/>
      <c r="J131" s="43"/>
      <c r="K131" s="43"/>
      <c r="L131" s="43"/>
      <c r="M131" s="44">
        <f t="shared" si="28"/>
        <v>0</v>
      </c>
      <c r="N131" s="44">
        <f t="shared" si="29"/>
        <v>0</v>
      </c>
      <c r="O131" s="43"/>
      <c r="P131" s="43"/>
      <c r="Q131" s="43"/>
      <c r="R131" s="43"/>
      <c r="S131" s="43"/>
      <c r="T131" s="43"/>
      <c r="U131" s="43"/>
      <c r="V131" s="44">
        <f t="shared" si="30"/>
        <v>0</v>
      </c>
      <c r="W131" s="44">
        <f t="shared" si="31"/>
        <v>0</v>
      </c>
      <c r="X131" s="44">
        <f t="shared" si="32"/>
        <v>0</v>
      </c>
      <c r="Y131" s="44">
        <f t="shared" si="33"/>
        <v>0</v>
      </c>
      <c r="Z131" s="50"/>
      <c r="AA131" s="47" t="str">
        <f t="shared" si="34"/>
        <v>December 2026</v>
      </c>
    </row>
    <row r="132" spans="1:27" ht="16.5" customHeight="1" thickTop="1" thickBot="1" x14ac:dyDescent="0.35">
      <c r="A132" s="35" t="s">
        <v>209</v>
      </c>
      <c r="E132" s="43"/>
      <c r="F132" s="43"/>
      <c r="G132" s="43"/>
      <c r="H132" s="43"/>
      <c r="I132" s="43"/>
      <c r="J132" s="43"/>
      <c r="K132" s="43"/>
      <c r="L132" s="43"/>
      <c r="M132" s="44">
        <f t="shared" si="28"/>
        <v>0</v>
      </c>
      <c r="N132" s="44">
        <f t="shared" si="29"/>
        <v>0</v>
      </c>
      <c r="O132" s="43"/>
      <c r="P132" s="43"/>
      <c r="Q132" s="43"/>
      <c r="R132" s="43"/>
      <c r="S132" s="43"/>
      <c r="T132" s="43"/>
      <c r="U132" s="43"/>
      <c r="V132" s="44">
        <f t="shared" si="30"/>
        <v>0</v>
      </c>
      <c r="W132" s="44">
        <f t="shared" si="31"/>
        <v>0</v>
      </c>
      <c r="X132" s="44">
        <f t="shared" si="32"/>
        <v>0</v>
      </c>
      <c r="Y132" s="44">
        <f t="shared" si="33"/>
        <v>0</v>
      </c>
      <c r="Z132" s="50"/>
      <c r="AA132" s="47" t="str">
        <f t="shared" si="34"/>
        <v>December 2026</v>
      </c>
    </row>
    <row r="133" spans="1:27" ht="16.5" customHeight="1" thickTop="1" thickBot="1" x14ac:dyDescent="0.35">
      <c r="A133" s="35" t="s">
        <v>209</v>
      </c>
      <c r="E133" s="43"/>
      <c r="F133" s="43"/>
      <c r="G133" s="43"/>
      <c r="H133" s="43"/>
      <c r="I133" s="43"/>
      <c r="J133" s="43"/>
      <c r="K133" s="43"/>
      <c r="L133" s="43"/>
      <c r="M133" s="44">
        <f t="shared" si="28"/>
        <v>0</v>
      </c>
      <c r="N133" s="44">
        <f t="shared" si="29"/>
        <v>0</v>
      </c>
      <c r="O133" s="43"/>
      <c r="P133" s="43"/>
      <c r="Q133" s="43"/>
      <c r="R133" s="43"/>
      <c r="S133" s="43"/>
      <c r="T133" s="43"/>
      <c r="U133" s="43"/>
      <c r="V133" s="44">
        <f t="shared" si="30"/>
        <v>0</v>
      </c>
      <c r="W133" s="44">
        <f t="shared" si="31"/>
        <v>0</v>
      </c>
      <c r="X133" s="44">
        <f t="shared" si="32"/>
        <v>0</v>
      </c>
      <c r="Y133" s="44">
        <f t="shared" si="33"/>
        <v>0</v>
      </c>
      <c r="Z133" s="50"/>
      <c r="AA133" s="47" t="str">
        <f t="shared" si="34"/>
        <v>December 2026</v>
      </c>
    </row>
    <row r="134" spans="1:27" ht="16.5" customHeight="1" thickTop="1" thickBot="1" x14ac:dyDescent="0.35">
      <c r="A134" s="35" t="s">
        <v>209</v>
      </c>
      <c r="E134" s="43"/>
      <c r="F134" s="43"/>
      <c r="G134" s="43"/>
      <c r="H134" s="43"/>
      <c r="I134" s="43"/>
      <c r="J134" s="43"/>
      <c r="K134" s="43"/>
      <c r="L134" s="43"/>
      <c r="M134" s="44">
        <f t="shared" si="28"/>
        <v>0</v>
      </c>
      <c r="N134" s="44">
        <f t="shared" si="29"/>
        <v>0</v>
      </c>
      <c r="O134" s="43"/>
      <c r="P134" s="43"/>
      <c r="Q134" s="43"/>
      <c r="R134" s="43"/>
      <c r="S134" s="43"/>
      <c r="T134" s="43"/>
      <c r="U134" s="43"/>
      <c r="V134" s="44">
        <f t="shared" si="30"/>
        <v>0</v>
      </c>
      <c r="W134" s="44">
        <f t="shared" si="31"/>
        <v>0</v>
      </c>
      <c r="X134" s="44">
        <f t="shared" si="32"/>
        <v>0</v>
      </c>
      <c r="Y134" s="44">
        <f t="shared" si="33"/>
        <v>0</v>
      </c>
      <c r="Z134" s="50"/>
      <c r="AA134" s="47" t="str">
        <f t="shared" si="34"/>
        <v>December 2026</v>
      </c>
    </row>
    <row r="135" spans="1:27" ht="16.5" customHeight="1" thickTop="1" thickBot="1" x14ac:dyDescent="0.35">
      <c r="A135" s="35" t="s">
        <v>209</v>
      </c>
      <c r="E135" s="43"/>
      <c r="F135" s="43"/>
      <c r="G135" s="43"/>
      <c r="H135" s="43"/>
      <c r="I135" s="43"/>
      <c r="J135" s="43"/>
      <c r="K135" s="43"/>
      <c r="L135" s="43"/>
      <c r="M135" s="44">
        <f t="shared" si="28"/>
        <v>0</v>
      </c>
      <c r="N135" s="44">
        <f t="shared" si="29"/>
        <v>0</v>
      </c>
      <c r="O135" s="43"/>
      <c r="P135" s="43"/>
      <c r="Q135" s="43"/>
      <c r="R135" s="43"/>
      <c r="S135" s="43"/>
      <c r="T135" s="43"/>
      <c r="U135" s="43"/>
      <c r="V135" s="44">
        <f t="shared" si="30"/>
        <v>0</v>
      </c>
      <c r="W135" s="44">
        <f t="shared" si="31"/>
        <v>0</v>
      </c>
      <c r="X135" s="44">
        <f t="shared" si="32"/>
        <v>0</v>
      </c>
      <c r="Y135" s="44">
        <f t="shared" si="33"/>
        <v>0</v>
      </c>
      <c r="Z135" s="50"/>
      <c r="AA135" s="47" t="str">
        <f t="shared" si="34"/>
        <v>December 2026</v>
      </c>
    </row>
    <row r="136" spans="1:27" ht="16.5" customHeight="1" thickTop="1" thickBot="1" x14ac:dyDescent="0.35">
      <c r="A136" s="35" t="s">
        <v>209</v>
      </c>
      <c r="E136" s="43"/>
      <c r="F136" s="43"/>
      <c r="G136" s="43"/>
      <c r="H136" s="43"/>
      <c r="I136" s="43"/>
      <c r="J136" s="43"/>
      <c r="K136" s="43"/>
      <c r="L136" s="43"/>
      <c r="M136" s="44">
        <f t="shared" si="28"/>
        <v>0</v>
      </c>
      <c r="N136" s="44">
        <f t="shared" si="29"/>
        <v>0</v>
      </c>
      <c r="O136" s="43"/>
      <c r="P136" s="43"/>
      <c r="Q136" s="43"/>
      <c r="R136" s="43"/>
      <c r="S136" s="43"/>
      <c r="T136" s="43"/>
      <c r="U136" s="43"/>
      <c r="V136" s="44">
        <f t="shared" si="30"/>
        <v>0</v>
      </c>
      <c r="W136" s="44">
        <f t="shared" si="31"/>
        <v>0</v>
      </c>
      <c r="X136" s="44">
        <f t="shared" si="32"/>
        <v>0</v>
      </c>
      <c r="Y136" s="44">
        <f t="shared" si="33"/>
        <v>0</v>
      </c>
      <c r="Z136" s="50"/>
      <c r="AA136" s="47" t="str">
        <f t="shared" si="34"/>
        <v>December 2026</v>
      </c>
    </row>
    <row r="137" spans="1:27" ht="16.5" customHeight="1" thickTop="1" thickBot="1" x14ac:dyDescent="0.35">
      <c r="A137" s="35" t="s">
        <v>210</v>
      </c>
      <c r="E137" s="43"/>
      <c r="F137" s="43"/>
      <c r="G137" s="43"/>
      <c r="H137" s="43"/>
      <c r="I137" s="43"/>
      <c r="J137" s="43"/>
      <c r="K137" s="43"/>
      <c r="L137" s="43"/>
      <c r="M137" s="44">
        <f t="shared" si="28"/>
        <v>0</v>
      </c>
      <c r="N137" s="44">
        <f t="shared" si="29"/>
        <v>0</v>
      </c>
      <c r="O137" s="43"/>
      <c r="P137" s="43"/>
      <c r="Q137" s="43"/>
      <c r="R137" s="43"/>
      <c r="S137" s="43"/>
      <c r="T137" s="43"/>
      <c r="U137" s="43"/>
      <c r="V137" s="44">
        <f t="shared" si="30"/>
        <v>0</v>
      </c>
      <c r="W137" s="44">
        <f t="shared" si="31"/>
        <v>0</v>
      </c>
      <c r="X137" s="44">
        <f t="shared" si="32"/>
        <v>0</v>
      </c>
      <c r="Y137" s="44">
        <f t="shared" si="33"/>
        <v>0</v>
      </c>
      <c r="Z137" s="50"/>
      <c r="AA137" s="47" t="str">
        <f t="shared" si="34"/>
        <v>January 2027</v>
      </c>
    </row>
    <row r="138" spans="1:27" ht="16.5" customHeight="1" thickTop="1" thickBot="1" x14ac:dyDescent="0.35">
      <c r="A138" s="35" t="s">
        <v>210</v>
      </c>
      <c r="E138" s="43"/>
      <c r="F138" s="43"/>
      <c r="G138" s="43"/>
      <c r="H138" s="43"/>
      <c r="I138" s="43"/>
      <c r="J138" s="43"/>
      <c r="K138" s="43"/>
      <c r="L138" s="43"/>
      <c r="M138" s="44">
        <f t="shared" si="28"/>
        <v>0</v>
      </c>
      <c r="N138" s="44">
        <f t="shared" si="29"/>
        <v>0</v>
      </c>
      <c r="O138" s="43"/>
      <c r="P138" s="43"/>
      <c r="Q138" s="43"/>
      <c r="R138" s="43"/>
      <c r="S138" s="43"/>
      <c r="T138" s="43"/>
      <c r="U138" s="43"/>
      <c r="V138" s="44">
        <f t="shared" si="30"/>
        <v>0</v>
      </c>
      <c r="W138" s="44">
        <f t="shared" si="31"/>
        <v>0</v>
      </c>
      <c r="X138" s="44">
        <f t="shared" si="32"/>
        <v>0</v>
      </c>
      <c r="Y138" s="44">
        <f t="shared" si="33"/>
        <v>0</v>
      </c>
      <c r="Z138" s="50"/>
      <c r="AA138" s="47" t="str">
        <f t="shared" si="34"/>
        <v>January 2027</v>
      </c>
    </row>
    <row r="139" spans="1:27" ht="16.5" customHeight="1" thickTop="1" thickBot="1" x14ac:dyDescent="0.35">
      <c r="A139" s="35" t="s">
        <v>210</v>
      </c>
      <c r="E139" s="43"/>
      <c r="F139" s="43"/>
      <c r="G139" s="43"/>
      <c r="H139" s="43"/>
      <c r="I139" s="43"/>
      <c r="J139" s="43"/>
      <c r="K139" s="43"/>
      <c r="L139" s="43"/>
      <c r="M139" s="44">
        <f t="shared" si="28"/>
        <v>0</v>
      </c>
      <c r="N139" s="44">
        <f t="shared" si="29"/>
        <v>0</v>
      </c>
      <c r="O139" s="43"/>
      <c r="P139" s="43"/>
      <c r="Q139" s="43"/>
      <c r="R139" s="43"/>
      <c r="S139" s="43"/>
      <c r="T139" s="43"/>
      <c r="U139" s="43"/>
      <c r="V139" s="44">
        <f t="shared" si="30"/>
        <v>0</v>
      </c>
      <c r="W139" s="44">
        <f t="shared" si="31"/>
        <v>0</v>
      </c>
      <c r="X139" s="44">
        <f t="shared" si="32"/>
        <v>0</v>
      </c>
      <c r="Y139" s="44">
        <f t="shared" si="33"/>
        <v>0</v>
      </c>
      <c r="Z139" s="50"/>
      <c r="AA139" s="47" t="str">
        <f t="shared" si="34"/>
        <v>January 2027</v>
      </c>
    </row>
    <row r="140" spans="1:27" ht="16.5" customHeight="1" thickTop="1" thickBot="1" x14ac:dyDescent="0.35">
      <c r="A140" s="35" t="s">
        <v>210</v>
      </c>
      <c r="E140" s="43"/>
      <c r="F140" s="43"/>
      <c r="G140" s="43"/>
      <c r="H140" s="43"/>
      <c r="I140" s="43"/>
      <c r="J140" s="43"/>
      <c r="K140" s="43"/>
      <c r="L140" s="43"/>
      <c r="M140" s="44">
        <f t="shared" si="28"/>
        <v>0</v>
      </c>
      <c r="N140" s="44">
        <f t="shared" si="29"/>
        <v>0</v>
      </c>
      <c r="O140" s="43"/>
      <c r="P140" s="43"/>
      <c r="Q140" s="43"/>
      <c r="R140" s="43"/>
      <c r="S140" s="43"/>
      <c r="T140" s="43"/>
      <c r="U140" s="43"/>
      <c r="V140" s="44">
        <f t="shared" si="30"/>
        <v>0</v>
      </c>
      <c r="W140" s="44">
        <f t="shared" si="31"/>
        <v>0</v>
      </c>
      <c r="X140" s="44">
        <f t="shared" si="32"/>
        <v>0</v>
      </c>
      <c r="Y140" s="44">
        <f t="shared" si="33"/>
        <v>0</v>
      </c>
      <c r="Z140" s="50"/>
      <c r="AA140" s="47" t="str">
        <f t="shared" si="34"/>
        <v>January 2027</v>
      </c>
    </row>
    <row r="141" spans="1:27" ht="16.5" customHeight="1" thickTop="1" thickBot="1" x14ac:dyDescent="0.35">
      <c r="A141" s="35" t="s">
        <v>210</v>
      </c>
      <c r="E141" s="43"/>
      <c r="F141" s="43"/>
      <c r="G141" s="43"/>
      <c r="H141" s="43"/>
      <c r="I141" s="43"/>
      <c r="J141" s="43"/>
      <c r="K141" s="43"/>
      <c r="L141" s="43"/>
      <c r="M141" s="44">
        <f t="shared" si="28"/>
        <v>0</v>
      </c>
      <c r="N141" s="44">
        <f t="shared" si="29"/>
        <v>0</v>
      </c>
      <c r="O141" s="43"/>
      <c r="P141" s="43"/>
      <c r="Q141" s="43"/>
      <c r="R141" s="43"/>
      <c r="S141" s="43"/>
      <c r="T141" s="43"/>
      <c r="U141" s="43"/>
      <c r="V141" s="44">
        <f t="shared" si="30"/>
        <v>0</v>
      </c>
      <c r="W141" s="44">
        <f t="shared" si="31"/>
        <v>0</v>
      </c>
      <c r="X141" s="44">
        <f t="shared" si="32"/>
        <v>0</v>
      </c>
      <c r="Y141" s="44">
        <f t="shared" si="33"/>
        <v>0</v>
      </c>
      <c r="Z141" s="50"/>
      <c r="AA141" s="47" t="str">
        <f t="shared" si="34"/>
        <v>January 2027</v>
      </c>
    </row>
    <row r="142" spans="1:27" ht="16.5" customHeight="1" thickTop="1" thickBot="1" x14ac:dyDescent="0.35">
      <c r="A142" s="35" t="s">
        <v>210</v>
      </c>
      <c r="E142" s="43"/>
      <c r="F142" s="43"/>
      <c r="G142" s="43"/>
      <c r="H142" s="43"/>
      <c r="I142" s="43"/>
      <c r="J142" s="43"/>
      <c r="K142" s="43"/>
      <c r="L142" s="43"/>
      <c r="M142" s="44">
        <f t="shared" si="28"/>
        <v>0</v>
      </c>
      <c r="N142" s="44">
        <f t="shared" si="29"/>
        <v>0</v>
      </c>
      <c r="O142" s="43"/>
      <c r="P142" s="43"/>
      <c r="Q142" s="43"/>
      <c r="R142" s="43"/>
      <c r="S142" s="43"/>
      <c r="T142" s="43"/>
      <c r="U142" s="43"/>
      <c r="V142" s="44">
        <f t="shared" si="30"/>
        <v>0</v>
      </c>
      <c r="W142" s="44">
        <f t="shared" si="31"/>
        <v>0</v>
      </c>
      <c r="X142" s="44">
        <f t="shared" si="32"/>
        <v>0</v>
      </c>
      <c r="Y142" s="44">
        <f t="shared" si="33"/>
        <v>0</v>
      </c>
      <c r="Z142" s="50"/>
      <c r="AA142" s="47" t="str">
        <f t="shared" si="34"/>
        <v>January 2027</v>
      </c>
    </row>
    <row r="143" spans="1:27" ht="16.5" customHeight="1" thickTop="1" thickBot="1" x14ac:dyDescent="0.35">
      <c r="A143" s="35" t="s">
        <v>210</v>
      </c>
      <c r="E143" s="43"/>
      <c r="F143" s="43"/>
      <c r="G143" s="43"/>
      <c r="H143" s="43"/>
      <c r="I143" s="43"/>
      <c r="J143" s="43"/>
      <c r="K143" s="43"/>
      <c r="L143" s="43"/>
      <c r="M143" s="44">
        <f t="shared" si="28"/>
        <v>0</v>
      </c>
      <c r="N143" s="44">
        <f t="shared" si="29"/>
        <v>0</v>
      </c>
      <c r="O143" s="43"/>
      <c r="P143" s="43"/>
      <c r="Q143" s="43"/>
      <c r="R143" s="43"/>
      <c r="S143" s="43"/>
      <c r="T143" s="43"/>
      <c r="U143" s="43"/>
      <c r="V143" s="44">
        <f t="shared" si="30"/>
        <v>0</v>
      </c>
      <c r="W143" s="44">
        <f t="shared" si="31"/>
        <v>0</v>
      </c>
      <c r="X143" s="44">
        <f t="shared" si="32"/>
        <v>0</v>
      </c>
      <c r="Y143" s="44">
        <f t="shared" si="33"/>
        <v>0</v>
      </c>
      <c r="Z143" s="50"/>
      <c r="AA143" s="47" t="str">
        <f t="shared" si="34"/>
        <v>January 2027</v>
      </c>
    </row>
    <row r="144" spans="1:27" ht="16.5" customHeight="1" thickTop="1" thickBot="1" x14ac:dyDescent="0.35">
      <c r="A144" s="35" t="s">
        <v>210</v>
      </c>
      <c r="E144" s="43"/>
      <c r="F144" s="43"/>
      <c r="G144" s="43"/>
      <c r="H144" s="43"/>
      <c r="I144" s="43"/>
      <c r="J144" s="43"/>
      <c r="K144" s="43"/>
      <c r="L144" s="43"/>
      <c r="M144" s="44">
        <f t="shared" si="28"/>
        <v>0</v>
      </c>
      <c r="N144" s="44">
        <f t="shared" si="29"/>
        <v>0</v>
      </c>
      <c r="O144" s="43"/>
      <c r="P144" s="43"/>
      <c r="Q144" s="43"/>
      <c r="R144" s="43"/>
      <c r="S144" s="43"/>
      <c r="T144" s="43"/>
      <c r="U144" s="43"/>
      <c r="V144" s="44">
        <f t="shared" si="30"/>
        <v>0</v>
      </c>
      <c r="W144" s="44">
        <f t="shared" si="31"/>
        <v>0</v>
      </c>
      <c r="X144" s="44">
        <f t="shared" si="32"/>
        <v>0</v>
      </c>
      <c r="Y144" s="44">
        <f t="shared" si="33"/>
        <v>0</v>
      </c>
      <c r="Z144" s="50"/>
      <c r="AA144" s="47" t="str">
        <f t="shared" si="34"/>
        <v>January 2027</v>
      </c>
    </row>
    <row r="145" spans="1:27" ht="16.5" customHeight="1" thickTop="1" thickBot="1" x14ac:dyDescent="0.35">
      <c r="A145" s="35" t="s">
        <v>210</v>
      </c>
      <c r="E145" s="43"/>
      <c r="F145" s="43"/>
      <c r="G145" s="43"/>
      <c r="H145" s="43"/>
      <c r="I145" s="43"/>
      <c r="J145" s="43"/>
      <c r="K145" s="43"/>
      <c r="L145" s="43"/>
      <c r="M145" s="44">
        <f t="shared" si="28"/>
        <v>0</v>
      </c>
      <c r="N145" s="44">
        <f t="shared" si="29"/>
        <v>0</v>
      </c>
      <c r="O145" s="43"/>
      <c r="P145" s="43"/>
      <c r="Q145" s="43"/>
      <c r="R145" s="43"/>
      <c r="S145" s="43"/>
      <c r="T145" s="43"/>
      <c r="U145" s="43"/>
      <c r="V145" s="44">
        <f t="shared" si="30"/>
        <v>0</v>
      </c>
      <c r="W145" s="44">
        <f t="shared" si="31"/>
        <v>0</v>
      </c>
      <c r="X145" s="44">
        <f t="shared" si="32"/>
        <v>0</v>
      </c>
      <c r="Y145" s="44">
        <f t="shared" si="33"/>
        <v>0</v>
      </c>
      <c r="Z145" s="50"/>
      <c r="AA145" s="47" t="str">
        <f t="shared" si="34"/>
        <v>January 2027</v>
      </c>
    </row>
    <row r="146" spans="1:27" ht="16.5" customHeight="1" thickTop="1" thickBot="1" x14ac:dyDescent="0.35">
      <c r="A146" s="35" t="s">
        <v>210</v>
      </c>
      <c r="E146" s="43"/>
      <c r="F146" s="43"/>
      <c r="G146" s="43"/>
      <c r="H146" s="43"/>
      <c r="I146" s="43"/>
      <c r="J146" s="43"/>
      <c r="K146" s="43"/>
      <c r="L146" s="43"/>
      <c r="M146" s="44">
        <f t="shared" si="28"/>
        <v>0</v>
      </c>
      <c r="N146" s="44">
        <f t="shared" si="29"/>
        <v>0</v>
      </c>
      <c r="O146" s="43"/>
      <c r="P146" s="43"/>
      <c r="Q146" s="43"/>
      <c r="R146" s="43"/>
      <c r="S146" s="43"/>
      <c r="T146" s="43"/>
      <c r="U146" s="43"/>
      <c r="V146" s="44">
        <f t="shared" si="30"/>
        <v>0</v>
      </c>
      <c r="W146" s="44">
        <f t="shared" si="31"/>
        <v>0</v>
      </c>
      <c r="X146" s="44">
        <f t="shared" si="32"/>
        <v>0</v>
      </c>
      <c r="Y146" s="44">
        <f t="shared" si="33"/>
        <v>0</v>
      </c>
      <c r="Z146" s="50"/>
      <c r="AA146" s="47" t="str">
        <f t="shared" si="34"/>
        <v>January 2027</v>
      </c>
    </row>
    <row r="147" spans="1:27" ht="16.5" customHeight="1" thickTop="1" thickBot="1" x14ac:dyDescent="0.35">
      <c r="A147" s="35" t="s">
        <v>210</v>
      </c>
      <c r="E147" s="43"/>
      <c r="F147" s="43"/>
      <c r="G147" s="43"/>
      <c r="H147" s="43"/>
      <c r="I147" s="43"/>
      <c r="J147" s="43"/>
      <c r="K147" s="43"/>
      <c r="L147" s="43"/>
      <c r="M147" s="44">
        <f t="shared" si="28"/>
        <v>0</v>
      </c>
      <c r="N147" s="44">
        <f t="shared" si="29"/>
        <v>0</v>
      </c>
      <c r="O147" s="43"/>
      <c r="P147" s="43"/>
      <c r="Q147" s="43"/>
      <c r="R147" s="43"/>
      <c r="S147" s="43"/>
      <c r="T147" s="43"/>
      <c r="U147" s="43"/>
      <c r="V147" s="44">
        <f t="shared" si="30"/>
        <v>0</v>
      </c>
      <c r="W147" s="44">
        <f t="shared" si="31"/>
        <v>0</v>
      </c>
      <c r="X147" s="44">
        <f t="shared" si="32"/>
        <v>0</v>
      </c>
      <c r="Y147" s="44">
        <f t="shared" si="33"/>
        <v>0</v>
      </c>
      <c r="Z147" s="50"/>
      <c r="AA147" s="47" t="str">
        <f t="shared" si="34"/>
        <v>January 2027</v>
      </c>
    </row>
    <row r="148" spans="1:27" ht="16.5" customHeight="1" thickTop="1" thickBot="1" x14ac:dyDescent="0.35">
      <c r="A148" s="35" t="s">
        <v>210</v>
      </c>
      <c r="E148" s="43"/>
      <c r="F148" s="43"/>
      <c r="G148" s="43"/>
      <c r="H148" s="43"/>
      <c r="I148" s="43"/>
      <c r="J148" s="43"/>
      <c r="K148" s="43"/>
      <c r="L148" s="43"/>
      <c r="M148" s="44">
        <f t="shared" si="28"/>
        <v>0</v>
      </c>
      <c r="N148" s="44">
        <f t="shared" si="29"/>
        <v>0</v>
      </c>
      <c r="O148" s="43"/>
      <c r="P148" s="43"/>
      <c r="Q148" s="43"/>
      <c r="R148" s="43"/>
      <c r="S148" s="43"/>
      <c r="T148" s="43"/>
      <c r="U148" s="43"/>
      <c r="V148" s="44">
        <f t="shared" si="30"/>
        <v>0</v>
      </c>
      <c r="W148" s="44">
        <f t="shared" si="31"/>
        <v>0</v>
      </c>
      <c r="X148" s="44">
        <f t="shared" si="32"/>
        <v>0</v>
      </c>
      <c r="Y148" s="44">
        <f t="shared" si="33"/>
        <v>0</v>
      </c>
      <c r="Z148" s="50"/>
      <c r="AA148" s="47" t="str">
        <f t="shared" si="34"/>
        <v>January 2027</v>
      </c>
    </row>
    <row r="149" spans="1:27" ht="16.5" customHeight="1" thickTop="1" thickBot="1" x14ac:dyDescent="0.35">
      <c r="A149" s="35" t="s">
        <v>210</v>
      </c>
      <c r="E149" s="43"/>
      <c r="F149" s="43"/>
      <c r="G149" s="43"/>
      <c r="H149" s="43"/>
      <c r="I149" s="43"/>
      <c r="J149" s="43"/>
      <c r="K149" s="43"/>
      <c r="L149" s="43"/>
      <c r="M149" s="44">
        <f t="shared" si="28"/>
        <v>0</v>
      </c>
      <c r="N149" s="44">
        <f t="shared" si="29"/>
        <v>0</v>
      </c>
      <c r="O149" s="43"/>
      <c r="P149" s="43"/>
      <c r="Q149" s="43"/>
      <c r="R149" s="43"/>
      <c r="S149" s="43"/>
      <c r="T149" s="43"/>
      <c r="U149" s="43"/>
      <c r="V149" s="44">
        <f t="shared" si="30"/>
        <v>0</v>
      </c>
      <c r="W149" s="44">
        <f t="shared" si="31"/>
        <v>0</v>
      </c>
      <c r="X149" s="44">
        <f t="shared" si="32"/>
        <v>0</v>
      </c>
      <c r="Y149" s="44">
        <f t="shared" si="33"/>
        <v>0</v>
      </c>
      <c r="Z149" s="50"/>
      <c r="AA149" s="47" t="str">
        <f t="shared" si="34"/>
        <v>January 2027</v>
      </c>
    </row>
    <row r="150" spans="1:27" ht="16.5" customHeight="1" thickTop="1" thickBot="1" x14ac:dyDescent="0.35">
      <c r="A150" s="35" t="s">
        <v>210</v>
      </c>
      <c r="E150" s="43"/>
      <c r="F150" s="43"/>
      <c r="G150" s="43"/>
      <c r="H150" s="43"/>
      <c r="I150" s="43"/>
      <c r="J150" s="43"/>
      <c r="K150" s="43"/>
      <c r="L150" s="43"/>
      <c r="M150" s="44">
        <f t="shared" si="28"/>
        <v>0</v>
      </c>
      <c r="N150" s="44">
        <f t="shared" si="29"/>
        <v>0</v>
      </c>
      <c r="O150" s="43"/>
      <c r="P150" s="43"/>
      <c r="Q150" s="43"/>
      <c r="R150" s="43"/>
      <c r="S150" s="43"/>
      <c r="T150" s="43"/>
      <c r="U150" s="43"/>
      <c r="V150" s="44">
        <f t="shared" si="30"/>
        <v>0</v>
      </c>
      <c r="W150" s="44">
        <f t="shared" si="31"/>
        <v>0</v>
      </c>
      <c r="X150" s="44">
        <f t="shared" si="32"/>
        <v>0</v>
      </c>
      <c r="Y150" s="44">
        <f t="shared" si="33"/>
        <v>0</v>
      </c>
      <c r="Z150" s="50"/>
      <c r="AA150" s="47" t="str">
        <f t="shared" si="34"/>
        <v>January 2027</v>
      </c>
    </row>
    <row r="151" spans="1:27" ht="16.5" customHeight="1" thickTop="1" thickBot="1" x14ac:dyDescent="0.35">
      <c r="A151" s="35" t="s">
        <v>210</v>
      </c>
      <c r="E151" s="43"/>
      <c r="F151" s="43"/>
      <c r="G151" s="43"/>
      <c r="H151" s="43"/>
      <c r="I151" s="43"/>
      <c r="J151" s="43"/>
      <c r="K151" s="43"/>
      <c r="L151" s="43"/>
      <c r="M151" s="44">
        <f t="shared" si="28"/>
        <v>0</v>
      </c>
      <c r="N151" s="44">
        <f t="shared" si="29"/>
        <v>0</v>
      </c>
      <c r="O151" s="43"/>
      <c r="P151" s="43"/>
      <c r="Q151" s="43"/>
      <c r="R151" s="43"/>
      <c r="S151" s="43"/>
      <c r="T151" s="43"/>
      <c r="U151" s="43"/>
      <c r="V151" s="44">
        <f t="shared" si="30"/>
        <v>0</v>
      </c>
      <c r="W151" s="44">
        <f t="shared" si="31"/>
        <v>0</v>
      </c>
      <c r="X151" s="44">
        <f t="shared" si="32"/>
        <v>0</v>
      </c>
      <c r="Y151" s="44">
        <f t="shared" si="33"/>
        <v>0</v>
      </c>
      <c r="Z151" s="50"/>
      <c r="AA151" s="47" t="str">
        <f t="shared" si="34"/>
        <v>January 2027</v>
      </c>
    </row>
    <row r="152" spans="1:27" ht="16.5" customHeight="1" thickTop="1" thickBot="1" x14ac:dyDescent="0.35">
      <c r="A152" s="35" t="s">
        <v>211</v>
      </c>
      <c r="E152" s="43"/>
      <c r="F152" s="43"/>
      <c r="G152" s="43"/>
      <c r="H152" s="43"/>
      <c r="I152" s="43"/>
      <c r="J152" s="43"/>
      <c r="K152" s="43"/>
      <c r="L152" s="43"/>
      <c r="M152" s="44">
        <f t="shared" si="28"/>
        <v>0</v>
      </c>
      <c r="N152" s="44">
        <f t="shared" si="29"/>
        <v>0</v>
      </c>
      <c r="O152" s="43"/>
      <c r="P152" s="43"/>
      <c r="Q152" s="43"/>
      <c r="R152" s="43"/>
      <c r="S152" s="43"/>
      <c r="T152" s="43"/>
      <c r="U152" s="43"/>
      <c r="V152" s="44">
        <f t="shared" si="30"/>
        <v>0</v>
      </c>
      <c r="W152" s="44">
        <f t="shared" si="31"/>
        <v>0</v>
      </c>
      <c r="X152" s="44">
        <f t="shared" si="32"/>
        <v>0</v>
      </c>
      <c r="Y152" s="44">
        <f t="shared" si="33"/>
        <v>0</v>
      </c>
      <c r="Z152" s="50"/>
      <c r="AA152" s="47" t="str">
        <f t="shared" si="34"/>
        <v>February 2027</v>
      </c>
    </row>
    <row r="153" spans="1:27" ht="16.5" customHeight="1" thickTop="1" thickBot="1" x14ac:dyDescent="0.35">
      <c r="A153" s="35" t="s">
        <v>211</v>
      </c>
      <c r="E153" s="43"/>
      <c r="F153" s="43"/>
      <c r="G153" s="43"/>
      <c r="H153" s="43"/>
      <c r="I153" s="43"/>
      <c r="J153" s="43"/>
      <c r="K153" s="43"/>
      <c r="L153" s="43"/>
      <c r="M153" s="44">
        <f t="shared" si="28"/>
        <v>0</v>
      </c>
      <c r="N153" s="44">
        <f t="shared" si="29"/>
        <v>0</v>
      </c>
      <c r="O153" s="43"/>
      <c r="P153" s="43"/>
      <c r="Q153" s="43"/>
      <c r="R153" s="43"/>
      <c r="S153" s="43"/>
      <c r="T153" s="43"/>
      <c r="U153" s="43"/>
      <c r="V153" s="44">
        <f t="shared" si="30"/>
        <v>0</v>
      </c>
      <c r="W153" s="44">
        <f t="shared" si="31"/>
        <v>0</v>
      </c>
      <c r="X153" s="44">
        <f t="shared" si="32"/>
        <v>0</v>
      </c>
      <c r="Y153" s="44">
        <f t="shared" si="33"/>
        <v>0</v>
      </c>
      <c r="Z153" s="50"/>
      <c r="AA153" s="47" t="str">
        <f t="shared" si="34"/>
        <v>February 2027</v>
      </c>
    </row>
    <row r="154" spans="1:27" ht="16.5" customHeight="1" thickTop="1" thickBot="1" x14ac:dyDescent="0.35">
      <c r="A154" s="35" t="s">
        <v>211</v>
      </c>
      <c r="E154" s="43"/>
      <c r="F154" s="43"/>
      <c r="G154" s="43"/>
      <c r="H154" s="43"/>
      <c r="I154" s="43"/>
      <c r="J154" s="43"/>
      <c r="K154" s="43"/>
      <c r="L154" s="43"/>
      <c r="M154" s="44">
        <f t="shared" si="28"/>
        <v>0</v>
      </c>
      <c r="N154" s="44">
        <f t="shared" si="29"/>
        <v>0</v>
      </c>
      <c r="O154" s="43"/>
      <c r="P154" s="43"/>
      <c r="Q154" s="43"/>
      <c r="R154" s="43"/>
      <c r="S154" s="43"/>
      <c r="T154" s="43"/>
      <c r="U154" s="43"/>
      <c r="V154" s="44">
        <f t="shared" si="30"/>
        <v>0</v>
      </c>
      <c r="W154" s="44">
        <f t="shared" si="31"/>
        <v>0</v>
      </c>
      <c r="X154" s="44">
        <f t="shared" si="32"/>
        <v>0</v>
      </c>
      <c r="Y154" s="44">
        <f t="shared" si="33"/>
        <v>0</v>
      </c>
      <c r="Z154" s="50"/>
      <c r="AA154" s="47" t="str">
        <f t="shared" si="34"/>
        <v>February 2027</v>
      </c>
    </row>
    <row r="155" spans="1:27" ht="16.5" customHeight="1" thickTop="1" thickBot="1" x14ac:dyDescent="0.35">
      <c r="A155" s="35" t="s">
        <v>211</v>
      </c>
      <c r="E155" s="43"/>
      <c r="F155" s="43"/>
      <c r="G155" s="43"/>
      <c r="H155" s="43"/>
      <c r="I155" s="43"/>
      <c r="J155" s="43"/>
      <c r="K155" s="43"/>
      <c r="L155" s="43"/>
      <c r="M155" s="44">
        <f t="shared" si="28"/>
        <v>0</v>
      </c>
      <c r="N155" s="44">
        <f t="shared" si="29"/>
        <v>0</v>
      </c>
      <c r="O155" s="43"/>
      <c r="P155" s="43"/>
      <c r="Q155" s="43"/>
      <c r="R155" s="43"/>
      <c r="S155" s="43"/>
      <c r="T155" s="43"/>
      <c r="U155" s="43"/>
      <c r="V155" s="44">
        <f t="shared" si="30"/>
        <v>0</v>
      </c>
      <c r="W155" s="44">
        <f t="shared" si="31"/>
        <v>0</v>
      </c>
      <c r="X155" s="44">
        <f t="shared" si="32"/>
        <v>0</v>
      </c>
      <c r="Y155" s="44">
        <f t="shared" si="33"/>
        <v>0</v>
      </c>
      <c r="Z155" s="50"/>
      <c r="AA155" s="47" t="str">
        <f t="shared" si="34"/>
        <v>February 2027</v>
      </c>
    </row>
    <row r="156" spans="1:27" ht="16.5" customHeight="1" thickTop="1" thickBot="1" x14ac:dyDescent="0.35">
      <c r="A156" s="35" t="s">
        <v>211</v>
      </c>
      <c r="E156" s="43"/>
      <c r="F156" s="43"/>
      <c r="G156" s="43"/>
      <c r="H156" s="43"/>
      <c r="I156" s="43"/>
      <c r="J156" s="43"/>
      <c r="K156" s="43"/>
      <c r="L156" s="43"/>
      <c r="M156" s="44">
        <f t="shared" si="28"/>
        <v>0</v>
      </c>
      <c r="N156" s="44">
        <f t="shared" si="29"/>
        <v>0</v>
      </c>
      <c r="O156" s="43"/>
      <c r="P156" s="43"/>
      <c r="Q156" s="43"/>
      <c r="R156" s="43"/>
      <c r="S156" s="43"/>
      <c r="T156" s="43"/>
      <c r="U156" s="43"/>
      <c r="V156" s="44">
        <f t="shared" si="30"/>
        <v>0</v>
      </c>
      <c r="W156" s="44">
        <f t="shared" si="31"/>
        <v>0</v>
      </c>
      <c r="X156" s="44">
        <f t="shared" si="32"/>
        <v>0</v>
      </c>
      <c r="Y156" s="44">
        <f t="shared" si="33"/>
        <v>0</v>
      </c>
      <c r="Z156" s="50"/>
      <c r="AA156" s="47" t="str">
        <f t="shared" si="34"/>
        <v>February 2027</v>
      </c>
    </row>
    <row r="157" spans="1:27" ht="16.5" customHeight="1" thickTop="1" thickBot="1" x14ac:dyDescent="0.35">
      <c r="A157" s="35" t="s">
        <v>211</v>
      </c>
      <c r="E157" s="43"/>
      <c r="F157" s="43"/>
      <c r="G157" s="43"/>
      <c r="H157" s="43"/>
      <c r="I157" s="43"/>
      <c r="J157" s="43"/>
      <c r="K157" s="43"/>
      <c r="L157" s="43"/>
      <c r="M157" s="44">
        <f t="shared" si="28"/>
        <v>0</v>
      </c>
      <c r="N157" s="44">
        <f t="shared" si="29"/>
        <v>0</v>
      </c>
      <c r="O157" s="43"/>
      <c r="P157" s="43"/>
      <c r="Q157" s="43"/>
      <c r="R157" s="43"/>
      <c r="S157" s="43"/>
      <c r="T157" s="43"/>
      <c r="U157" s="43"/>
      <c r="V157" s="44">
        <f t="shared" si="30"/>
        <v>0</v>
      </c>
      <c r="W157" s="44">
        <f t="shared" si="31"/>
        <v>0</v>
      </c>
      <c r="X157" s="44">
        <f t="shared" si="32"/>
        <v>0</v>
      </c>
      <c r="Y157" s="44">
        <f t="shared" si="33"/>
        <v>0</v>
      </c>
      <c r="Z157" s="50"/>
      <c r="AA157" s="47" t="str">
        <f t="shared" si="34"/>
        <v>February 2027</v>
      </c>
    </row>
    <row r="158" spans="1:27" ht="16.5" customHeight="1" thickTop="1" thickBot="1" x14ac:dyDescent="0.35">
      <c r="A158" s="35" t="s">
        <v>211</v>
      </c>
      <c r="E158" s="43"/>
      <c r="F158" s="43"/>
      <c r="G158" s="43"/>
      <c r="H158" s="43"/>
      <c r="I158" s="43"/>
      <c r="J158" s="43"/>
      <c r="K158" s="43"/>
      <c r="L158" s="43"/>
      <c r="M158" s="44">
        <f t="shared" si="28"/>
        <v>0</v>
      </c>
      <c r="N158" s="44">
        <f t="shared" si="29"/>
        <v>0</v>
      </c>
      <c r="O158" s="43"/>
      <c r="P158" s="43"/>
      <c r="Q158" s="43"/>
      <c r="R158" s="43"/>
      <c r="S158" s="43"/>
      <c r="T158" s="43"/>
      <c r="U158" s="43"/>
      <c r="V158" s="44">
        <f t="shared" si="30"/>
        <v>0</v>
      </c>
      <c r="W158" s="44">
        <f t="shared" si="31"/>
        <v>0</v>
      </c>
      <c r="X158" s="44">
        <f t="shared" si="32"/>
        <v>0</v>
      </c>
      <c r="Y158" s="44">
        <f t="shared" si="33"/>
        <v>0</v>
      </c>
      <c r="Z158" s="50"/>
      <c r="AA158" s="47" t="str">
        <f t="shared" si="34"/>
        <v>February 2027</v>
      </c>
    </row>
    <row r="159" spans="1:27" ht="16.5" customHeight="1" thickTop="1" thickBot="1" x14ac:dyDescent="0.35">
      <c r="A159" s="35" t="s">
        <v>211</v>
      </c>
      <c r="E159" s="43"/>
      <c r="F159" s="43"/>
      <c r="G159" s="43"/>
      <c r="H159" s="43"/>
      <c r="I159" s="43"/>
      <c r="J159" s="43"/>
      <c r="K159" s="43"/>
      <c r="L159" s="43"/>
      <c r="M159" s="44">
        <f t="shared" si="28"/>
        <v>0</v>
      </c>
      <c r="N159" s="44">
        <f t="shared" si="29"/>
        <v>0</v>
      </c>
      <c r="O159" s="43"/>
      <c r="P159" s="43"/>
      <c r="Q159" s="43"/>
      <c r="R159" s="43"/>
      <c r="S159" s="43"/>
      <c r="T159" s="43"/>
      <c r="U159" s="43"/>
      <c r="V159" s="44">
        <f t="shared" si="30"/>
        <v>0</v>
      </c>
      <c r="W159" s="44">
        <f t="shared" si="31"/>
        <v>0</v>
      </c>
      <c r="X159" s="44">
        <f t="shared" si="32"/>
        <v>0</v>
      </c>
      <c r="Y159" s="44">
        <f t="shared" si="33"/>
        <v>0</v>
      </c>
      <c r="Z159" s="50"/>
      <c r="AA159" s="47" t="str">
        <f t="shared" si="34"/>
        <v>February 2027</v>
      </c>
    </row>
    <row r="160" spans="1:27" ht="16.5" customHeight="1" thickTop="1" thickBot="1" x14ac:dyDescent="0.35">
      <c r="A160" s="35" t="s">
        <v>211</v>
      </c>
      <c r="E160" s="43"/>
      <c r="F160" s="43"/>
      <c r="G160" s="43"/>
      <c r="H160" s="43"/>
      <c r="I160" s="43"/>
      <c r="J160" s="43"/>
      <c r="K160" s="43"/>
      <c r="L160" s="43"/>
      <c r="M160" s="44">
        <f t="shared" si="28"/>
        <v>0</v>
      </c>
      <c r="N160" s="44">
        <f t="shared" si="29"/>
        <v>0</v>
      </c>
      <c r="O160" s="43"/>
      <c r="P160" s="43"/>
      <c r="Q160" s="43"/>
      <c r="R160" s="43"/>
      <c r="S160" s="43"/>
      <c r="T160" s="43"/>
      <c r="U160" s="43"/>
      <c r="V160" s="44">
        <f t="shared" si="30"/>
        <v>0</v>
      </c>
      <c r="W160" s="44">
        <f t="shared" si="31"/>
        <v>0</v>
      </c>
      <c r="X160" s="44">
        <f t="shared" si="32"/>
        <v>0</v>
      </c>
      <c r="Y160" s="44">
        <f t="shared" si="33"/>
        <v>0</v>
      </c>
      <c r="Z160" s="50"/>
      <c r="AA160" s="47" t="str">
        <f t="shared" si="34"/>
        <v>February 2027</v>
      </c>
    </row>
    <row r="161" spans="1:27" ht="16.5" customHeight="1" thickTop="1" thickBot="1" x14ac:dyDescent="0.35">
      <c r="A161" s="35" t="s">
        <v>211</v>
      </c>
      <c r="E161" s="43"/>
      <c r="F161" s="43"/>
      <c r="G161" s="43"/>
      <c r="H161" s="43"/>
      <c r="I161" s="43"/>
      <c r="J161" s="43"/>
      <c r="K161" s="43"/>
      <c r="L161" s="43"/>
      <c r="M161" s="44">
        <f t="shared" si="28"/>
        <v>0</v>
      </c>
      <c r="N161" s="44">
        <f t="shared" si="29"/>
        <v>0</v>
      </c>
      <c r="O161" s="43"/>
      <c r="P161" s="43"/>
      <c r="Q161" s="43"/>
      <c r="R161" s="43"/>
      <c r="S161" s="43"/>
      <c r="T161" s="43"/>
      <c r="U161" s="43"/>
      <c r="V161" s="44">
        <f t="shared" si="30"/>
        <v>0</v>
      </c>
      <c r="W161" s="44">
        <f t="shared" si="31"/>
        <v>0</v>
      </c>
      <c r="X161" s="44">
        <f t="shared" si="32"/>
        <v>0</v>
      </c>
      <c r="Y161" s="44">
        <f t="shared" si="33"/>
        <v>0</v>
      </c>
      <c r="Z161" s="50"/>
      <c r="AA161" s="47" t="str">
        <f t="shared" si="34"/>
        <v>February 2027</v>
      </c>
    </row>
    <row r="162" spans="1:27" ht="16.5" customHeight="1" thickTop="1" thickBot="1" x14ac:dyDescent="0.35">
      <c r="A162" s="35" t="s">
        <v>211</v>
      </c>
      <c r="E162" s="43"/>
      <c r="F162" s="43"/>
      <c r="G162" s="43"/>
      <c r="H162" s="43"/>
      <c r="I162" s="43"/>
      <c r="J162" s="43"/>
      <c r="K162" s="43"/>
      <c r="L162" s="43"/>
      <c r="M162" s="44">
        <f t="shared" ref="M162:M181" si="35">SUM(E162:L162)</f>
        <v>0</v>
      </c>
      <c r="N162" s="44">
        <f t="shared" ref="N162:N181" si="36">(E162+F162)*8%</f>
        <v>0</v>
      </c>
      <c r="O162" s="43"/>
      <c r="P162" s="43"/>
      <c r="Q162" s="43"/>
      <c r="R162" s="43"/>
      <c r="S162" s="43"/>
      <c r="T162" s="43"/>
      <c r="U162" s="43"/>
      <c r="V162" s="44">
        <f t="shared" ref="V162:V181" si="37">SUM(N162:U162)</f>
        <v>0</v>
      </c>
      <c r="W162" s="44">
        <f t="shared" ref="W162:W181" si="38">M162-V162</f>
        <v>0</v>
      </c>
      <c r="X162" s="44">
        <f t="shared" ref="X162:X181" si="39">(E162+F162)*12%</f>
        <v>0</v>
      </c>
      <c r="Y162" s="44">
        <f t="shared" ref="Y162:Y181" si="40">(E162+F162)*3%</f>
        <v>0</v>
      </c>
      <c r="Z162" s="50"/>
      <c r="AA162" s="47" t="str">
        <f t="shared" ref="AA162:AA181" si="41">A162&amp;B162</f>
        <v>February 2027</v>
      </c>
    </row>
    <row r="163" spans="1:27" ht="16.5" customHeight="1" thickTop="1" thickBot="1" x14ac:dyDescent="0.35">
      <c r="A163" s="35" t="s">
        <v>211</v>
      </c>
      <c r="E163" s="43"/>
      <c r="F163" s="43"/>
      <c r="G163" s="43"/>
      <c r="H163" s="43"/>
      <c r="I163" s="43"/>
      <c r="J163" s="43"/>
      <c r="K163" s="43"/>
      <c r="L163" s="43"/>
      <c r="M163" s="44">
        <f t="shared" si="35"/>
        <v>0</v>
      </c>
      <c r="N163" s="44">
        <f t="shared" si="36"/>
        <v>0</v>
      </c>
      <c r="O163" s="43"/>
      <c r="P163" s="43"/>
      <c r="Q163" s="43"/>
      <c r="R163" s="43"/>
      <c r="S163" s="43"/>
      <c r="T163" s="43"/>
      <c r="U163" s="43"/>
      <c r="V163" s="44">
        <f t="shared" si="37"/>
        <v>0</v>
      </c>
      <c r="W163" s="44">
        <f t="shared" si="38"/>
        <v>0</v>
      </c>
      <c r="X163" s="44">
        <f t="shared" si="39"/>
        <v>0</v>
      </c>
      <c r="Y163" s="44">
        <f t="shared" si="40"/>
        <v>0</v>
      </c>
      <c r="Z163" s="50"/>
      <c r="AA163" s="47" t="str">
        <f t="shared" si="41"/>
        <v>February 2027</v>
      </c>
    </row>
    <row r="164" spans="1:27" ht="16.5" customHeight="1" thickTop="1" thickBot="1" x14ac:dyDescent="0.35">
      <c r="A164" s="35" t="s">
        <v>211</v>
      </c>
      <c r="E164" s="43"/>
      <c r="F164" s="43"/>
      <c r="G164" s="43"/>
      <c r="H164" s="43"/>
      <c r="I164" s="43"/>
      <c r="J164" s="43"/>
      <c r="K164" s="43"/>
      <c r="L164" s="43"/>
      <c r="M164" s="44">
        <f t="shared" si="35"/>
        <v>0</v>
      </c>
      <c r="N164" s="44">
        <f t="shared" si="36"/>
        <v>0</v>
      </c>
      <c r="O164" s="43"/>
      <c r="P164" s="43"/>
      <c r="Q164" s="43"/>
      <c r="R164" s="43"/>
      <c r="S164" s="43"/>
      <c r="T164" s="43"/>
      <c r="U164" s="43"/>
      <c r="V164" s="44">
        <f t="shared" si="37"/>
        <v>0</v>
      </c>
      <c r="W164" s="44">
        <f t="shared" si="38"/>
        <v>0</v>
      </c>
      <c r="X164" s="44">
        <f t="shared" si="39"/>
        <v>0</v>
      </c>
      <c r="Y164" s="44">
        <f t="shared" si="40"/>
        <v>0</v>
      </c>
      <c r="Z164" s="50"/>
      <c r="AA164" s="47" t="str">
        <f t="shared" si="41"/>
        <v>February 2027</v>
      </c>
    </row>
    <row r="165" spans="1:27" ht="16.5" customHeight="1" thickTop="1" thickBot="1" x14ac:dyDescent="0.35">
      <c r="A165" s="35" t="s">
        <v>211</v>
      </c>
      <c r="E165" s="43"/>
      <c r="F165" s="43"/>
      <c r="G165" s="43"/>
      <c r="H165" s="43"/>
      <c r="I165" s="43"/>
      <c r="J165" s="43"/>
      <c r="K165" s="43"/>
      <c r="L165" s="43"/>
      <c r="M165" s="44">
        <f t="shared" si="35"/>
        <v>0</v>
      </c>
      <c r="N165" s="44">
        <f t="shared" si="36"/>
        <v>0</v>
      </c>
      <c r="O165" s="43"/>
      <c r="P165" s="43"/>
      <c r="Q165" s="43"/>
      <c r="R165" s="43"/>
      <c r="S165" s="43"/>
      <c r="T165" s="43"/>
      <c r="U165" s="43"/>
      <c r="V165" s="44">
        <f t="shared" si="37"/>
        <v>0</v>
      </c>
      <c r="W165" s="44">
        <f t="shared" si="38"/>
        <v>0</v>
      </c>
      <c r="X165" s="44">
        <f t="shared" si="39"/>
        <v>0</v>
      </c>
      <c r="Y165" s="44">
        <f t="shared" si="40"/>
        <v>0</v>
      </c>
      <c r="Z165" s="50"/>
      <c r="AA165" s="47" t="str">
        <f t="shared" si="41"/>
        <v>February 2027</v>
      </c>
    </row>
    <row r="166" spans="1:27" ht="16.5" customHeight="1" thickTop="1" thickBot="1" x14ac:dyDescent="0.35">
      <c r="A166" s="35" t="s">
        <v>211</v>
      </c>
      <c r="E166" s="43"/>
      <c r="F166" s="43"/>
      <c r="G166" s="43"/>
      <c r="H166" s="43"/>
      <c r="I166" s="43"/>
      <c r="J166" s="43"/>
      <c r="K166" s="43"/>
      <c r="L166" s="43"/>
      <c r="M166" s="44">
        <f t="shared" si="35"/>
        <v>0</v>
      </c>
      <c r="N166" s="44">
        <f t="shared" si="36"/>
        <v>0</v>
      </c>
      <c r="O166" s="43"/>
      <c r="P166" s="43"/>
      <c r="Q166" s="43"/>
      <c r="R166" s="43"/>
      <c r="S166" s="43"/>
      <c r="T166" s="43"/>
      <c r="U166" s="43"/>
      <c r="V166" s="44">
        <f t="shared" si="37"/>
        <v>0</v>
      </c>
      <c r="W166" s="44">
        <f t="shared" si="38"/>
        <v>0</v>
      </c>
      <c r="X166" s="44">
        <f t="shared" si="39"/>
        <v>0</v>
      </c>
      <c r="Y166" s="44">
        <f t="shared" si="40"/>
        <v>0</v>
      </c>
      <c r="Z166" s="50"/>
      <c r="AA166" s="47" t="str">
        <f t="shared" si="41"/>
        <v>February 2027</v>
      </c>
    </row>
    <row r="167" spans="1:27" ht="16.5" customHeight="1" thickTop="1" thickBot="1" x14ac:dyDescent="0.35">
      <c r="A167" s="35" t="s">
        <v>212</v>
      </c>
      <c r="E167" s="43"/>
      <c r="F167" s="43"/>
      <c r="G167" s="43"/>
      <c r="H167" s="43"/>
      <c r="I167" s="43"/>
      <c r="J167" s="43"/>
      <c r="K167" s="43"/>
      <c r="L167" s="43"/>
      <c r="M167" s="44">
        <f t="shared" si="35"/>
        <v>0</v>
      </c>
      <c r="N167" s="44">
        <f t="shared" si="36"/>
        <v>0</v>
      </c>
      <c r="O167" s="43"/>
      <c r="P167" s="43"/>
      <c r="Q167" s="43"/>
      <c r="R167" s="43"/>
      <c r="S167" s="43"/>
      <c r="T167" s="43"/>
      <c r="U167" s="43"/>
      <c r="V167" s="44">
        <f t="shared" si="37"/>
        <v>0</v>
      </c>
      <c r="W167" s="44">
        <f t="shared" si="38"/>
        <v>0</v>
      </c>
      <c r="X167" s="44">
        <f t="shared" si="39"/>
        <v>0</v>
      </c>
      <c r="Y167" s="44">
        <f t="shared" si="40"/>
        <v>0</v>
      </c>
      <c r="Z167" s="50"/>
      <c r="AA167" s="47" t="str">
        <f t="shared" si="41"/>
        <v>March 2027</v>
      </c>
    </row>
    <row r="168" spans="1:27" ht="16.5" customHeight="1" thickTop="1" thickBot="1" x14ac:dyDescent="0.35">
      <c r="A168" s="35" t="s">
        <v>212</v>
      </c>
      <c r="E168" s="43"/>
      <c r="F168" s="43"/>
      <c r="G168" s="43"/>
      <c r="H168" s="43"/>
      <c r="I168" s="43"/>
      <c r="J168" s="43"/>
      <c r="K168" s="43"/>
      <c r="L168" s="43"/>
      <c r="M168" s="44">
        <f t="shared" si="35"/>
        <v>0</v>
      </c>
      <c r="N168" s="44">
        <f t="shared" si="36"/>
        <v>0</v>
      </c>
      <c r="O168" s="43"/>
      <c r="P168" s="43"/>
      <c r="Q168" s="43"/>
      <c r="R168" s="43"/>
      <c r="S168" s="43"/>
      <c r="T168" s="43"/>
      <c r="U168" s="43"/>
      <c r="V168" s="44">
        <f t="shared" si="37"/>
        <v>0</v>
      </c>
      <c r="W168" s="44">
        <f t="shared" si="38"/>
        <v>0</v>
      </c>
      <c r="X168" s="44">
        <f t="shared" si="39"/>
        <v>0</v>
      </c>
      <c r="Y168" s="44">
        <f t="shared" si="40"/>
        <v>0</v>
      </c>
      <c r="Z168" s="50"/>
      <c r="AA168" s="47" t="str">
        <f t="shared" si="41"/>
        <v>March 2027</v>
      </c>
    </row>
    <row r="169" spans="1:27" ht="16.5" customHeight="1" thickTop="1" thickBot="1" x14ac:dyDescent="0.35">
      <c r="A169" s="35" t="s">
        <v>212</v>
      </c>
      <c r="E169" s="43"/>
      <c r="F169" s="43"/>
      <c r="G169" s="43"/>
      <c r="H169" s="43"/>
      <c r="I169" s="43"/>
      <c r="J169" s="43"/>
      <c r="K169" s="43"/>
      <c r="L169" s="43"/>
      <c r="M169" s="44">
        <f t="shared" si="35"/>
        <v>0</v>
      </c>
      <c r="N169" s="44">
        <f t="shared" si="36"/>
        <v>0</v>
      </c>
      <c r="O169" s="43"/>
      <c r="P169" s="43"/>
      <c r="Q169" s="43"/>
      <c r="R169" s="43"/>
      <c r="S169" s="43"/>
      <c r="T169" s="43"/>
      <c r="U169" s="43"/>
      <c r="V169" s="44">
        <f t="shared" si="37"/>
        <v>0</v>
      </c>
      <c r="W169" s="44">
        <f t="shared" si="38"/>
        <v>0</v>
      </c>
      <c r="X169" s="44">
        <f t="shared" si="39"/>
        <v>0</v>
      </c>
      <c r="Y169" s="44">
        <f t="shared" si="40"/>
        <v>0</v>
      </c>
      <c r="Z169" s="50"/>
      <c r="AA169" s="47" t="str">
        <f t="shared" si="41"/>
        <v>March 2027</v>
      </c>
    </row>
    <row r="170" spans="1:27" ht="16.5" customHeight="1" thickTop="1" thickBot="1" x14ac:dyDescent="0.35">
      <c r="A170" s="35" t="s">
        <v>212</v>
      </c>
      <c r="E170" s="43"/>
      <c r="F170" s="43"/>
      <c r="G170" s="43"/>
      <c r="H170" s="43"/>
      <c r="I170" s="43"/>
      <c r="J170" s="43"/>
      <c r="K170" s="43"/>
      <c r="L170" s="43"/>
      <c r="M170" s="44">
        <f t="shared" si="35"/>
        <v>0</v>
      </c>
      <c r="N170" s="44">
        <f t="shared" si="36"/>
        <v>0</v>
      </c>
      <c r="O170" s="43"/>
      <c r="P170" s="43"/>
      <c r="Q170" s="43"/>
      <c r="R170" s="43"/>
      <c r="S170" s="43"/>
      <c r="T170" s="43"/>
      <c r="U170" s="43"/>
      <c r="V170" s="44">
        <f t="shared" si="37"/>
        <v>0</v>
      </c>
      <c r="W170" s="44">
        <f t="shared" si="38"/>
        <v>0</v>
      </c>
      <c r="X170" s="44">
        <f t="shared" si="39"/>
        <v>0</v>
      </c>
      <c r="Y170" s="44">
        <f t="shared" si="40"/>
        <v>0</v>
      </c>
      <c r="Z170" s="50"/>
      <c r="AA170" s="47" t="str">
        <f t="shared" si="41"/>
        <v>March 2027</v>
      </c>
    </row>
    <row r="171" spans="1:27" ht="16.5" customHeight="1" thickTop="1" thickBot="1" x14ac:dyDescent="0.35">
      <c r="A171" s="35" t="s">
        <v>212</v>
      </c>
      <c r="E171" s="43"/>
      <c r="F171" s="43"/>
      <c r="G171" s="43"/>
      <c r="H171" s="43"/>
      <c r="I171" s="43"/>
      <c r="J171" s="43"/>
      <c r="K171" s="43"/>
      <c r="L171" s="43"/>
      <c r="M171" s="44">
        <f t="shared" si="35"/>
        <v>0</v>
      </c>
      <c r="N171" s="44">
        <f t="shared" si="36"/>
        <v>0</v>
      </c>
      <c r="O171" s="43"/>
      <c r="P171" s="43"/>
      <c r="Q171" s="43"/>
      <c r="R171" s="43"/>
      <c r="S171" s="43"/>
      <c r="T171" s="43"/>
      <c r="U171" s="43"/>
      <c r="V171" s="44">
        <f t="shared" si="37"/>
        <v>0</v>
      </c>
      <c r="W171" s="44">
        <f t="shared" si="38"/>
        <v>0</v>
      </c>
      <c r="X171" s="44">
        <f t="shared" si="39"/>
        <v>0</v>
      </c>
      <c r="Y171" s="44">
        <f t="shared" si="40"/>
        <v>0</v>
      </c>
      <c r="Z171" s="50"/>
      <c r="AA171" s="47" t="str">
        <f t="shared" si="41"/>
        <v>March 2027</v>
      </c>
    </row>
    <row r="172" spans="1:27" ht="16.5" customHeight="1" thickTop="1" thickBot="1" x14ac:dyDescent="0.35">
      <c r="A172" s="35" t="s">
        <v>212</v>
      </c>
      <c r="E172" s="43"/>
      <c r="F172" s="43"/>
      <c r="G172" s="43"/>
      <c r="H172" s="43"/>
      <c r="I172" s="43"/>
      <c r="J172" s="43"/>
      <c r="K172" s="43"/>
      <c r="L172" s="43"/>
      <c r="M172" s="44">
        <f t="shared" si="35"/>
        <v>0</v>
      </c>
      <c r="N172" s="44">
        <f t="shared" si="36"/>
        <v>0</v>
      </c>
      <c r="O172" s="43"/>
      <c r="P172" s="43"/>
      <c r="Q172" s="43"/>
      <c r="R172" s="43"/>
      <c r="S172" s="43"/>
      <c r="T172" s="43"/>
      <c r="U172" s="43"/>
      <c r="V172" s="44">
        <f t="shared" si="37"/>
        <v>0</v>
      </c>
      <c r="W172" s="44">
        <f t="shared" si="38"/>
        <v>0</v>
      </c>
      <c r="X172" s="44">
        <f t="shared" si="39"/>
        <v>0</v>
      </c>
      <c r="Y172" s="44">
        <f t="shared" si="40"/>
        <v>0</v>
      </c>
      <c r="Z172" s="50"/>
      <c r="AA172" s="47" t="str">
        <f t="shared" si="41"/>
        <v>March 2027</v>
      </c>
    </row>
    <row r="173" spans="1:27" ht="16.5" customHeight="1" thickTop="1" thickBot="1" x14ac:dyDescent="0.35">
      <c r="A173" s="35" t="s">
        <v>212</v>
      </c>
      <c r="E173" s="43"/>
      <c r="F173" s="43"/>
      <c r="G173" s="43"/>
      <c r="H173" s="43"/>
      <c r="I173" s="43"/>
      <c r="J173" s="43"/>
      <c r="K173" s="43"/>
      <c r="L173" s="43"/>
      <c r="M173" s="44">
        <f t="shared" si="35"/>
        <v>0</v>
      </c>
      <c r="N173" s="44">
        <f t="shared" si="36"/>
        <v>0</v>
      </c>
      <c r="O173" s="43"/>
      <c r="P173" s="43"/>
      <c r="Q173" s="43"/>
      <c r="R173" s="43"/>
      <c r="S173" s="43"/>
      <c r="T173" s="43"/>
      <c r="U173" s="43"/>
      <c r="V173" s="44">
        <f t="shared" si="37"/>
        <v>0</v>
      </c>
      <c r="W173" s="44">
        <f t="shared" si="38"/>
        <v>0</v>
      </c>
      <c r="X173" s="44">
        <f t="shared" si="39"/>
        <v>0</v>
      </c>
      <c r="Y173" s="44">
        <f t="shared" si="40"/>
        <v>0</v>
      </c>
      <c r="Z173" s="50"/>
      <c r="AA173" s="47" t="str">
        <f t="shared" si="41"/>
        <v>March 2027</v>
      </c>
    </row>
    <row r="174" spans="1:27" ht="16.5" customHeight="1" thickTop="1" thickBot="1" x14ac:dyDescent="0.35">
      <c r="A174" s="35" t="s">
        <v>212</v>
      </c>
      <c r="E174" s="43"/>
      <c r="F174" s="43"/>
      <c r="G174" s="43"/>
      <c r="H174" s="43"/>
      <c r="I174" s="43"/>
      <c r="J174" s="43"/>
      <c r="K174" s="43"/>
      <c r="L174" s="43"/>
      <c r="M174" s="44">
        <f t="shared" si="35"/>
        <v>0</v>
      </c>
      <c r="N174" s="44">
        <f t="shared" si="36"/>
        <v>0</v>
      </c>
      <c r="O174" s="43"/>
      <c r="P174" s="43"/>
      <c r="Q174" s="43"/>
      <c r="R174" s="43"/>
      <c r="S174" s="43"/>
      <c r="T174" s="43"/>
      <c r="U174" s="43"/>
      <c r="V174" s="44">
        <f t="shared" si="37"/>
        <v>0</v>
      </c>
      <c r="W174" s="44">
        <f t="shared" si="38"/>
        <v>0</v>
      </c>
      <c r="X174" s="44">
        <f t="shared" si="39"/>
        <v>0</v>
      </c>
      <c r="Y174" s="44">
        <f t="shared" si="40"/>
        <v>0</v>
      </c>
      <c r="Z174" s="50"/>
      <c r="AA174" s="47" t="str">
        <f t="shared" si="41"/>
        <v>March 2027</v>
      </c>
    </row>
    <row r="175" spans="1:27" ht="16.5" customHeight="1" thickTop="1" thickBot="1" x14ac:dyDescent="0.35">
      <c r="A175" s="35" t="s">
        <v>212</v>
      </c>
      <c r="E175" s="43"/>
      <c r="F175" s="43"/>
      <c r="G175" s="43"/>
      <c r="H175" s="43"/>
      <c r="I175" s="43"/>
      <c r="J175" s="43"/>
      <c r="K175" s="43"/>
      <c r="L175" s="43"/>
      <c r="M175" s="44">
        <f t="shared" si="35"/>
        <v>0</v>
      </c>
      <c r="N175" s="44">
        <f t="shared" si="36"/>
        <v>0</v>
      </c>
      <c r="O175" s="43"/>
      <c r="P175" s="43"/>
      <c r="Q175" s="43"/>
      <c r="R175" s="43"/>
      <c r="S175" s="43"/>
      <c r="T175" s="43"/>
      <c r="U175" s="43"/>
      <c r="V175" s="44">
        <f t="shared" si="37"/>
        <v>0</v>
      </c>
      <c r="W175" s="44">
        <f t="shared" si="38"/>
        <v>0</v>
      </c>
      <c r="X175" s="44">
        <f t="shared" si="39"/>
        <v>0</v>
      </c>
      <c r="Y175" s="44">
        <f t="shared" si="40"/>
        <v>0</v>
      </c>
      <c r="Z175" s="50"/>
      <c r="AA175" s="47" t="str">
        <f t="shared" si="41"/>
        <v>March 2027</v>
      </c>
    </row>
    <row r="176" spans="1:27" ht="16.5" customHeight="1" thickTop="1" thickBot="1" x14ac:dyDescent="0.35">
      <c r="A176" s="35" t="s">
        <v>212</v>
      </c>
      <c r="E176" s="43"/>
      <c r="F176" s="43"/>
      <c r="G176" s="43"/>
      <c r="H176" s="43"/>
      <c r="I176" s="43"/>
      <c r="J176" s="43"/>
      <c r="K176" s="43"/>
      <c r="L176" s="43"/>
      <c r="M176" s="44">
        <f t="shared" si="35"/>
        <v>0</v>
      </c>
      <c r="N176" s="44">
        <f t="shared" si="36"/>
        <v>0</v>
      </c>
      <c r="O176" s="43"/>
      <c r="P176" s="43"/>
      <c r="Q176" s="43"/>
      <c r="R176" s="43"/>
      <c r="S176" s="43"/>
      <c r="T176" s="43"/>
      <c r="U176" s="43"/>
      <c r="V176" s="44">
        <f t="shared" si="37"/>
        <v>0</v>
      </c>
      <c r="W176" s="44">
        <f t="shared" si="38"/>
        <v>0</v>
      </c>
      <c r="X176" s="44">
        <f t="shared" si="39"/>
        <v>0</v>
      </c>
      <c r="Y176" s="44">
        <f t="shared" si="40"/>
        <v>0</v>
      </c>
      <c r="Z176" s="50"/>
      <c r="AA176" s="47" t="str">
        <f t="shared" si="41"/>
        <v>March 2027</v>
      </c>
    </row>
    <row r="177" spans="1:27" ht="16.5" customHeight="1" thickTop="1" thickBot="1" x14ac:dyDescent="0.35">
      <c r="A177" s="35" t="s">
        <v>212</v>
      </c>
      <c r="E177" s="43"/>
      <c r="F177" s="43"/>
      <c r="G177" s="43"/>
      <c r="H177" s="43"/>
      <c r="I177" s="43"/>
      <c r="J177" s="43"/>
      <c r="K177" s="43"/>
      <c r="L177" s="43"/>
      <c r="M177" s="44">
        <f t="shared" si="35"/>
        <v>0</v>
      </c>
      <c r="N177" s="44">
        <f t="shared" si="36"/>
        <v>0</v>
      </c>
      <c r="O177" s="43"/>
      <c r="P177" s="43"/>
      <c r="Q177" s="43"/>
      <c r="R177" s="43"/>
      <c r="S177" s="43"/>
      <c r="T177" s="43"/>
      <c r="U177" s="43"/>
      <c r="V177" s="44">
        <f t="shared" si="37"/>
        <v>0</v>
      </c>
      <c r="W177" s="44">
        <f t="shared" si="38"/>
        <v>0</v>
      </c>
      <c r="X177" s="44">
        <f t="shared" si="39"/>
        <v>0</v>
      </c>
      <c r="Y177" s="44">
        <f t="shared" si="40"/>
        <v>0</v>
      </c>
      <c r="Z177" s="50"/>
      <c r="AA177" s="47" t="str">
        <f t="shared" si="41"/>
        <v>March 2027</v>
      </c>
    </row>
    <row r="178" spans="1:27" ht="16.5" customHeight="1" thickTop="1" thickBot="1" x14ac:dyDescent="0.35">
      <c r="A178" s="35" t="s">
        <v>212</v>
      </c>
      <c r="E178" s="43"/>
      <c r="F178" s="43"/>
      <c r="G178" s="43"/>
      <c r="H178" s="43"/>
      <c r="I178" s="43"/>
      <c r="J178" s="43"/>
      <c r="K178" s="43"/>
      <c r="L178" s="43"/>
      <c r="M178" s="44">
        <f t="shared" si="35"/>
        <v>0</v>
      </c>
      <c r="N178" s="44">
        <f t="shared" si="36"/>
        <v>0</v>
      </c>
      <c r="O178" s="43"/>
      <c r="P178" s="43"/>
      <c r="Q178" s="43"/>
      <c r="R178" s="43"/>
      <c r="S178" s="43"/>
      <c r="T178" s="43"/>
      <c r="U178" s="43"/>
      <c r="V178" s="44">
        <f t="shared" si="37"/>
        <v>0</v>
      </c>
      <c r="W178" s="44">
        <f t="shared" si="38"/>
        <v>0</v>
      </c>
      <c r="X178" s="44">
        <f t="shared" si="39"/>
        <v>0</v>
      </c>
      <c r="Y178" s="44">
        <f t="shared" si="40"/>
        <v>0</v>
      </c>
      <c r="Z178" s="50"/>
      <c r="AA178" s="47" t="str">
        <f t="shared" si="41"/>
        <v>March 2027</v>
      </c>
    </row>
    <row r="179" spans="1:27" ht="16.5" customHeight="1" thickTop="1" thickBot="1" x14ac:dyDescent="0.35">
      <c r="A179" s="35" t="s">
        <v>212</v>
      </c>
      <c r="E179" s="43"/>
      <c r="F179" s="43"/>
      <c r="G179" s="43"/>
      <c r="H179" s="43"/>
      <c r="I179" s="43"/>
      <c r="J179" s="43"/>
      <c r="K179" s="43"/>
      <c r="L179" s="43"/>
      <c r="M179" s="44">
        <f t="shared" si="35"/>
        <v>0</v>
      </c>
      <c r="N179" s="44">
        <f t="shared" si="36"/>
        <v>0</v>
      </c>
      <c r="O179" s="43"/>
      <c r="P179" s="43"/>
      <c r="Q179" s="43"/>
      <c r="R179" s="43"/>
      <c r="S179" s="43"/>
      <c r="T179" s="43"/>
      <c r="U179" s="43"/>
      <c r="V179" s="44">
        <f t="shared" si="37"/>
        <v>0</v>
      </c>
      <c r="W179" s="44">
        <f t="shared" si="38"/>
        <v>0</v>
      </c>
      <c r="X179" s="44">
        <f t="shared" si="39"/>
        <v>0</v>
      </c>
      <c r="Y179" s="44">
        <f t="shared" si="40"/>
        <v>0</v>
      </c>
      <c r="Z179" s="50"/>
      <c r="AA179" s="47" t="str">
        <f t="shared" si="41"/>
        <v>March 2027</v>
      </c>
    </row>
    <row r="180" spans="1:27" ht="16.5" customHeight="1" thickTop="1" thickBot="1" x14ac:dyDescent="0.35">
      <c r="A180" s="35" t="s">
        <v>212</v>
      </c>
      <c r="E180" s="43"/>
      <c r="F180" s="43"/>
      <c r="G180" s="43"/>
      <c r="H180" s="43"/>
      <c r="I180" s="43"/>
      <c r="J180" s="43"/>
      <c r="K180" s="43"/>
      <c r="L180" s="43"/>
      <c r="M180" s="44">
        <f t="shared" si="35"/>
        <v>0</v>
      </c>
      <c r="N180" s="44">
        <f t="shared" si="36"/>
        <v>0</v>
      </c>
      <c r="O180" s="43"/>
      <c r="P180" s="43"/>
      <c r="Q180" s="43"/>
      <c r="R180" s="43"/>
      <c r="S180" s="43"/>
      <c r="T180" s="43"/>
      <c r="U180" s="43"/>
      <c r="V180" s="44">
        <f t="shared" si="37"/>
        <v>0</v>
      </c>
      <c r="W180" s="44">
        <f t="shared" si="38"/>
        <v>0</v>
      </c>
      <c r="X180" s="44">
        <f t="shared" si="39"/>
        <v>0</v>
      </c>
      <c r="Y180" s="44">
        <f t="shared" si="40"/>
        <v>0</v>
      </c>
      <c r="Z180" s="50"/>
      <c r="AA180" s="47" t="str">
        <f t="shared" si="41"/>
        <v>March 2027</v>
      </c>
    </row>
    <row r="181" spans="1:27" ht="16.5" customHeight="1" thickTop="1" thickBot="1" x14ac:dyDescent="0.35">
      <c r="A181" s="35" t="s">
        <v>212</v>
      </c>
      <c r="E181" s="43"/>
      <c r="F181" s="43"/>
      <c r="G181" s="43"/>
      <c r="H181" s="43"/>
      <c r="I181" s="43"/>
      <c r="J181" s="43"/>
      <c r="K181" s="43"/>
      <c r="L181" s="43"/>
      <c r="M181" s="44">
        <f t="shared" si="35"/>
        <v>0</v>
      </c>
      <c r="N181" s="44">
        <f t="shared" si="36"/>
        <v>0</v>
      </c>
      <c r="O181" s="43"/>
      <c r="P181" s="43"/>
      <c r="Q181" s="43"/>
      <c r="R181" s="43"/>
      <c r="S181" s="43"/>
      <c r="T181" s="43"/>
      <c r="U181" s="43"/>
      <c r="V181" s="44">
        <f t="shared" si="37"/>
        <v>0</v>
      </c>
      <c r="W181" s="44">
        <f t="shared" si="38"/>
        <v>0</v>
      </c>
      <c r="X181" s="44">
        <f t="shared" si="39"/>
        <v>0</v>
      </c>
      <c r="Y181" s="44">
        <f t="shared" si="40"/>
        <v>0</v>
      </c>
      <c r="Z181" s="50"/>
      <c r="AA181" s="47" t="str">
        <f t="shared" si="41"/>
        <v>March 2027</v>
      </c>
    </row>
    <row r="182" spans="1:27" ht="15.75" customHeight="1" thickTop="1" x14ac:dyDescent="0.3"/>
  </sheetData>
  <autoFilter ref="A1:Y181" xr:uid="{00000000-0009-0000-0000-000002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Salary Silp</vt:lpstr>
      <vt:lpstr>Employee Master</vt:lpstr>
      <vt:lpstr>Salary Data</vt:lpstr>
      <vt:lpstr>'Salary Silp'!Print_Area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 Weerasinghe</dc:creator>
  <cp:lastModifiedBy>CAPITAL BRIDGE PRIVATE LIMITED</cp:lastModifiedBy>
  <cp:lastPrinted>2026-09-14T07:15:01Z</cp:lastPrinted>
  <dcterms:created xsi:type="dcterms:W3CDTF">2026-09-12T06:44:14Z</dcterms:created>
  <dcterms:modified xsi:type="dcterms:W3CDTF">2026-10-26T08:43:34Z</dcterms:modified>
</cp:coreProperties>
</file>